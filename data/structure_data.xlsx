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GIE\Projects\ASRI\project_asri\"/>
    </mc:Choice>
  </mc:AlternateContent>
  <xr:revisionPtr revIDLastSave="0" documentId="13_ncr:1_{AC205C16-8EC2-425C-A5DD-40FF6E34ECB9}" xr6:coauthVersionLast="47" xr6:coauthVersionMax="47" xr10:uidLastSave="{00000000-0000-0000-0000-000000000000}"/>
  <bookViews>
    <workbookView xWindow="-120" yWindow="-120" windowWidth="29040" windowHeight="15720" tabRatio="685" xr2:uid="{00000000-000D-0000-FFFF-FFFF00000000}"/>
  </bookViews>
  <sheets>
    <sheet name="EMPLOYEES" sheetId="1" r:id="rId1"/>
    <sheet name="LEVEL" sheetId="2" r:id="rId2"/>
    <sheet name="DIRECTORATE" sheetId="3" r:id="rId3"/>
    <sheet name="DIVISION" sheetId="4" r:id="rId4"/>
    <sheet name="DEPARTEMENT" sheetId="5" r:id="rId5"/>
    <sheet name="SUB-DEPARTEMENT" sheetId="6" r:id="rId6"/>
    <sheet name="BUSINESS-UNIT" sheetId="7" r:id="rId7"/>
    <sheet name="CORP" sheetId="8" r:id="rId8"/>
    <sheet name="EMAIL" sheetId="10" r:id="rId9"/>
    <sheet name="AD" sheetId="11" r:id="rId10"/>
    <sheet name="WORKSTATION" sheetId="15" r:id="rId11"/>
    <sheet name="Q-WS" sheetId="20" r:id="rId12"/>
    <sheet name="ME" sheetId="21" r:id="rId13"/>
    <sheet name="TASK" sheetId="22" r:id="rId14"/>
    <sheet name="WH" sheetId="23" r:id="rId15"/>
    <sheet name="AM" sheetId="12" r:id="rId16"/>
    <sheet name="ITEM" sheetId="16" r:id="rId17"/>
    <sheet name="SITE" sheetId="14" r:id="rId18"/>
  </sheets>
  <definedNames>
    <definedName name="cabling">#REF!</definedName>
    <definedName name="license">#REF!</definedName>
    <definedName name="nextDate">#REF!</definedName>
    <definedName name="pEnd">#REF!</definedName>
    <definedName name="thisDate">#REF!</definedName>
    <definedName name="valuevx">42.314159</definedName>
    <definedName name="vertex42_copyright" hidden="1">"© 2017 Vertex42 LLC"</definedName>
    <definedName name="vertex42_id" hidden="1">"project-planner.xlsx"</definedName>
    <definedName name="vertex42_title" hidden="1">"Project Planner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3" l="1"/>
  <c r="G6" i="23"/>
  <c r="G3" i="23" s="1" a="1"/>
  <c r="G3" i="23" s="1"/>
  <c r="G7" i="23"/>
  <c r="H7" i="23" s="1"/>
  <c r="G8" i="23"/>
  <c r="H8" i="23" s="1"/>
  <c r="H5" i="23"/>
  <c r="B5" i="23"/>
  <c r="B6" i="23"/>
  <c r="B7" i="23"/>
  <c r="B8" i="23"/>
  <c r="E3" i="23" a="1"/>
  <c r="E3" i="23" s="1"/>
  <c r="F3" i="23" a="1"/>
  <c r="F3" i="23" s="1"/>
  <c r="D3" i="23" a="1"/>
  <c r="D3" i="23" s="1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5" i="15"/>
  <c r="AP5" i="15" a="1"/>
  <c r="AP5" i="15" s="1"/>
  <c r="AP6" i="15" a="1"/>
  <c r="AP6" i="15" s="1"/>
  <c r="AP7" i="15" a="1"/>
  <c r="AP7" i="15" s="1"/>
  <c r="AP8" i="15" a="1"/>
  <c r="AP8" i="15"/>
  <c r="AP9" i="15" a="1"/>
  <c r="AP9" i="15" s="1"/>
  <c r="AP10" i="15" a="1"/>
  <c r="AP10" i="15"/>
  <c r="AP11" i="15" a="1"/>
  <c r="AP11" i="15" s="1"/>
  <c r="AP12" i="15" a="1"/>
  <c r="AP12" i="15" s="1"/>
  <c r="AP13" i="15" a="1"/>
  <c r="AP13" i="15" s="1"/>
  <c r="AP14" i="15" a="1"/>
  <c r="AP14" i="15" s="1"/>
  <c r="AP15" i="15" a="1"/>
  <c r="AP15" i="15" s="1"/>
  <c r="AP16" i="15" a="1"/>
  <c r="AP16" i="15" s="1"/>
  <c r="AP17" i="15" a="1"/>
  <c r="AP17" i="15" s="1"/>
  <c r="AP18" i="15" a="1"/>
  <c r="AP18" i="15" s="1"/>
  <c r="AP19" i="15" a="1"/>
  <c r="AP19" i="15" s="1"/>
  <c r="AM19" i="15"/>
  <c r="AM5" i="15"/>
  <c r="AM6" i="15"/>
  <c r="AM7" i="15"/>
  <c r="AM8" i="15"/>
  <c r="AM9" i="15"/>
  <c r="AM10" i="15"/>
  <c r="AM11" i="15"/>
  <c r="AM12" i="15"/>
  <c r="AM13" i="15"/>
  <c r="AM14" i="15"/>
  <c r="AM15" i="15"/>
  <c r="AM16" i="15"/>
  <c r="AM17" i="15"/>
  <c r="AM18" i="15"/>
  <c r="AX19" i="15"/>
  <c r="F19" i="15"/>
  <c r="W19" i="15"/>
  <c r="F18" i="15"/>
  <c r="W18" i="15" s="1"/>
  <c r="AX18" i="15"/>
  <c r="I17" i="12"/>
  <c r="K17" i="12"/>
  <c r="M17" i="12"/>
  <c r="R17" i="12"/>
  <c r="AX5" i="15"/>
  <c r="AX6" i="15"/>
  <c r="AX7" i="15"/>
  <c r="AX8" i="15"/>
  <c r="AX9" i="15"/>
  <c r="AX10" i="15"/>
  <c r="AX11" i="15"/>
  <c r="AX12" i="15"/>
  <c r="AX13" i="15"/>
  <c r="AX14" i="15"/>
  <c r="AX15" i="15"/>
  <c r="AX16" i="15"/>
  <c r="AX17" i="15"/>
  <c r="F17" i="15"/>
  <c r="W17" i="15" s="1"/>
  <c r="H6" i="23" l="1"/>
  <c r="B3" i="23" a="1"/>
  <c r="B3" i="23" s="1"/>
  <c r="BA19" i="15"/>
  <c r="BB19" i="15"/>
  <c r="BC19" i="15"/>
  <c r="BC18" i="15"/>
  <c r="BB18" i="15"/>
  <c r="BA18" i="15"/>
  <c r="S17" i="12"/>
  <c r="T17" i="12"/>
  <c r="BB17" i="15"/>
  <c r="BC17" i="15"/>
  <c r="BA17" i="15"/>
  <c r="E5" i="20" l="1"/>
  <c r="E6" i="20"/>
  <c r="F6" i="20" s="1"/>
  <c r="E7" i="20"/>
  <c r="E8" i="20"/>
  <c r="E9" i="20"/>
  <c r="E10" i="20"/>
  <c r="E11" i="20"/>
  <c r="E12" i="20"/>
  <c r="E13" i="20"/>
  <c r="E14" i="20"/>
  <c r="E15" i="20"/>
  <c r="F15" i="20" s="1"/>
  <c r="E16" i="20"/>
  <c r="F16" i="20" s="1"/>
  <c r="E17" i="20"/>
  <c r="E18" i="20"/>
  <c r="E19" i="20"/>
  <c r="E20" i="20"/>
  <c r="E21" i="20"/>
  <c r="E22" i="20"/>
  <c r="E23" i="20"/>
  <c r="E24" i="20"/>
  <c r="E25" i="20"/>
  <c r="E26" i="20"/>
  <c r="E27" i="20"/>
  <c r="F27" i="20" s="1"/>
  <c r="E28" i="20"/>
  <c r="F28" i="20" s="1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F51" i="20" s="1"/>
  <c r="E52" i="20"/>
  <c r="F52" i="20" s="1"/>
  <c r="E53" i="20"/>
  <c r="E54" i="20"/>
  <c r="F5" i="20"/>
  <c r="F7" i="20"/>
  <c r="F8" i="20"/>
  <c r="F9" i="20"/>
  <c r="F10" i="20"/>
  <c r="F11" i="20"/>
  <c r="F12" i="20"/>
  <c r="F13" i="20"/>
  <c r="F14" i="20"/>
  <c r="F17" i="20"/>
  <c r="F18" i="20"/>
  <c r="F19" i="20"/>
  <c r="F20" i="20"/>
  <c r="F21" i="20"/>
  <c r="F22" i="20"/>
  <c r="F23" i="20"/>
  <c r="F24" i="20"/>
  <c r="F25" i="20"/>
  <c r="F26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3" i="20"/>
  <c r="F54" i="20"/>
  <c r="C3" i="22" a="1"/>
  <c r="C3" i="22" s="1"/>
  <c r="D3" i="22" a="1"/>
  <c r="D3" i="22" s="1"/>
  <c r="E3" i="22" a="1"/>
  <c r="E3" i="22" s="1"/>
  <c r="F3" i="22" a="1"/>
  <c r="F3" i="22" s="1"/>
  <c r="B3" i="22" a="1"/>
  <c r="B3" i="22" s="1"/>
  <c r="F5" i="21"/>
  <c r="F6" i="21"/>
  <c r="F7" i="21"/>
  <c r="F8" i="21"/>
  <c r="D5" i="22"/>
  <c r="D6" i="22"/>
  <c r="D7" i="22"/>
  <c r="D8" i="22"/>
  <c r="F5" i="22"/>
  <c r="F6" i="22"/>
  <c r="F7" i="22"/>
  <c r="F8" i="22"/>
  <c r="B5" i="22"/>
  <c r="G5" i="22" s="1"/>
  <c r="B6" i="22"/>
  <c r="G6" i="22" s="1"/>
  <c r="B7" i="22"/>
  <c r="G7" i="22" s="1"/>
  <c r="B8" i="22"/>
  <c r="G8" i="22" s="1"/>
  <c r="C2" i="15" a="1"/>
  <c r="C2" i="15" s="1"/>
  <c r="D2" i="15" a="1"/>
  <c r="D2" i="15" s="1"/>
  <c r="E2" i="15" a="1"/>
  <c r="E2" i="15" s="1"/>
  <c r="G2" i="15" a="1"/>
  <c r="G2" i="15" s="1"/>
  <c r="H2" i="15" a="1"/>
  <c r="H2" i="15" s="1"/>
  <c r="I2" i="15" a="1"/>
  <c r="I2" i="15" s="1"/>
  <c r="J2" i="15" a="1"/>
  <c r="J2" i="15" s="1"/>
  <c r="K2" i="15" a="1"/>
  <c r="K2" i="15" s="1"/>
  <c r="L2" i="15" a="1"/>
  <c r="L2" i="15" s="1"/>
  <c r="M2" i="15" a="1"/>
  <c r="M2" i="15" s="1"/>
  <c r="N2" i="15" a="1"/>
  <c r="N2" i="15" s="1"/>
  <c r="O2" i="15" a="1"/>
  <c r="O2" i="15" s="1"/>
  <c r="P2" i="15" a="1"/>
  <c r="P2" i="15" s="1"/>
  <c r="Q2" i="15" a="1"/>
  <c r="Q2" i="15" s="1"/>
  <c r="R2" i="15" a="1"/>
  <c r="R2" i="15" s="1"/>
  <c r="S2" i="15" a="1"/>
  <c r="S2" i="15" s="1"/>
  <c r="T2" i="15" a="1"/>
  <c r="T2" i="15" s="1"/>
  <c r="U2" i="15" a="1"/>
  <c r="U2" i="15" s="1"/>
  <c r="V2" i="15" a="1"/>
  <c r="V2" i="15" s="1"/>
  <c r="X2" i="15" a="1"/>
  <c r="X2" i="15" s="1"/>
  <c r="Y2" i="15" a="1"/>
  <c r="Y2" i="15" s="1"/>
  <c r="Z2" i="15" a="1"/>
  <c r="Z2" i="15" s="1"/>
  <c r="AA2" i="15" a="1"/>
  <c r="AA2" i="15" s="1"/>
  <c r="AB2" i="15" a="1"/>
  <c r="AB2" i="15" s="1"/>
  <c r="AC2" i="15" a="1"/>
  <c r="AC2" i="15" s="1"/>
  <c r="AD2" i="15" a="1"/>
  <c r="AD2" i="15" s="1"/>
  <c r="AE2" i="15" a="1"/>
  <c r="AE2" i="15" s="1"/>
  <c r="AF2" i="15" a="1"/>
  <c r="AF2" i="15" s="1"/>
  <c r="AG2" i="15" a="1"/>
  <c r="AG2" i="15" s="1"/>
  <c r="AH2" i="15" a="1"/>
  <c r="AH2" i="15" s="1"/>
  <c r="AI2" i="15" a="1"/>
  <c r="AI2" i="15" s="1"/>
  <c r="AJ2" i="15" a="1"/>
  <c r="AJ2" i="15" s="1"/>
  <c r="AK2" i="15" a="1"/>
  <c r="AK2" i="15" s="1"/>
  <c r="AL2" i="15" a="1"/>
  <c r="AL2" i="15" s="1"/>
  <c r="AM2" i="15" a="1"/>
  <c r="AM2" i="15" s="1"/>
  <c r="AN2" i="15" a="1"/>
  <c r="AN2" i="15" s="1"/>
  <c r="AO2" i="15" a="1"/>
  <c r="AO2" i="15" s="1"/>
  <c r="AP2" i="15" a="1"/>
  <c r="AP2" i="15" s="1"/>
  <c r="AQ2" i="15" a="1"/>
  <c r="AQ2" i="15" s="1"/>
  <c r="AR2" i="15" a="1"/>
  <c r="AR2" i="15" s="1"/>
  <c r="AS2" i="15" a="1"/>
  <c r="AS2" i="15" s="1"/>
  <c r="AT2" i="15" a="1"/>
  <c r="AT2" i="15" s="1"/>
  <c r="AU2" i="15" a="1"/>
  <c r="AU2" i="15" s="1"/>
  <c r="AV2" i="15" a="1"/>
  <c r="AV2" i="15" s="1"/>
  <c r="AW2" i="15" a="1"/>
  <c r="AW2" i="15" s="1"/>
  <c r="AY2" i="15" a="1"/>
  <c r="AY2" i="15" s="1"/>
  <c r="AZ2" i="15" a="1"/>
  <c r="AZ2" i="15" s="1"/>
  <c r="B2" i="15" a="1"/>
  <c r="B2" i="15" s="1"/>
  <c r="E17" i="5"/>
  <c r="E18" i="5"/>
  <c r="E19" i="5"/>
  <c r="E20" i="5"/>
  <c r="E21" i="5"/>
  <c r="E22" i="5"/>
  <c r="E23" i="5"/>
  <c r="E24" i="5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K10" i="12"/>
  <c r="I10" i="12"/>
  <c r="R8" i="12"/>
  <c r="R9" i="12"/>
  <c r="R10" i="12"/>
  <c r="R7" i="12"/>
  <c r="R5" i="12"/>
  <c r="R6" i="12"/>
  <c r="R11" i="12"/>
  <c r="R12" i="12"/>
  <c r="R13" i="12"/>
  <c r="R14" i="12"/>
  <c r="R15" i="12"/>
  <c r="R16" i="12"/>
  <c r="E3" i="12" l="1" a="1"/>
  <c r="E3" i="12" s="1"/>
  <c r="F3" i="12" a="1"/>
  <c r="F3" i="12" s="1"/>
  <c r="G3" i="12" a="1"/>
  <c r="G3" i="12" s="1"/>
  <c r="H3" i="12" a="1"/>
  <c r="H3" i="12" s="1"/>
  <c r="J3" i="12" a="1"/>
  <c r="J3" i="12" s="1"/>
  <c r="L3" i="12" a="1"/>
  <c r="L3" i="12" s="1"/>
  <c r="O3" i="12" a="1"/>
  <c r="O3" i="12" s="1"/>
  <c r="P3" i="12" a="1"/>
  <c r="P3" i="12" s="1"/>
  <c r="Q3" i="12" a="1"/>
  <c r="Q3" i="12" s="1"/>
  <c r="R3" i="12" a="1"/>
  <c r="R3" i="12" s="1"/>
  <c r="B3" i="12" a="1"/>
  <c r="B3" i="12" s="1"/>
  <c r="F5" i="15"/>
  <c r="F6" i="15"/>
  <c r="F7" i="15"/>
  <c r="F8" i="15"/>
  <c r="F9" i="15"/>
  <c r="F10" i="15"/>
  <c r="F11" i="15"/>
  <c r="F12" i="15"/>
  <c r="F13" i="15"/>
  <c r="F14" i="15"/>
  <c r="F15" i="15"/>
  <c r="F16" i="15"/>
  <c r="M5" i="12"/>
  <c r="M6" i="12"/>
  <c r="M7" i="12"/>
  <c r="M8" i="12"/>
  <c r="M9" i="12"/>
  <c r="M10" i="12"/>
  <c r="T10" i="12" s="1"/>
  <c r="M11" i="12"/>
  <c r="M12" i="12"/>
  <c r="M13" i="12"/>
  <c r="M14" i="12"/>
  <c r="M15" i="12"/>
  <c r="M16" i="12"/>
  <c r="K5" i="12"/>
  <c r="K6" i="12"/>
  <c r="K7" i="12"/>
  <c r="K8" i="12"/>
  <c r="K9" i="12"/>
  <c r="K11" i="12"/>
  <c r="K12" i="12"/>
  <c r="K13" i="12"/>
  <c r="K14" i="12"/>
  <c r="K15" i="12"/>
  <c r="K16" i="12"/>
  <c r="I5" i="12"/>
  <c r="I6" i="12"/>
  <c r="I7" i="12"/>
  <c r="T7" i="12" s="1"/>
  <c r="I8" i="12"/>
  <c r="I9" i="12"/>
  <c r="I11" i="12"/>
  <c r="I12" i="12"/>
  <c r="I13" i="12"/>
  <c r="I14" i="12"/>
  <c r="I15" i="12"/>
  <c r="I16" i="12"/>
  <c r="T8" i="12" l="1"/>
  <c r="T13" i="12"/>
  <c r="T11" i="12"/>
  <c r="T6" i="12"/>
  <c r="T5" i="12"/>
  <c r="T16" i="12"/>
  <c r="T15" i="12"/>
  <c r="T14" i="12"/>
  <c r="T9" i="12"/>
  <c r="T12" i="12"/>
  <c r="W16" i="15"/>
  <c r="BB16" i="15" s="1"/>
  <c r="BC16" i="15"/>
  <c r="W14" i="15"/>
  <c r="BA14" i="15" s="1"/>
  <c r="BC14" i="15"/>
  <c r="W15" i="15"/>
  <c r="BB15" i="15" s="1"/>
  <c r="BC15" i="15"/>
  <c r="W13" i="15"/>
  <c r="BC13" i="15" s="1"/>
  <c r="W12" i="15"/>
  <c r="BB12" i="15" s="1"/>
  <c r="W11" i="15"/>
  <c r="BC11" i="15" s="1"/>
  <c r="W10" i="15"/>
  <c r="BC10" i="15" s="1"/>
  <c r="BB10" i="15"/>
  <c r="W9" i="15"/>
  <c r="BB9" i="15" s="1"/>
  <c r="W8" i="15"/>
  <c r="BC8" i="15" s="1"/>
  <c r="W7" i="15"/>
  <c r="BC7" i="15" s="1"/>
  <c r="W6" i="15"/>
  <c r="BB6" i="15" s="1"/>
  <c r="W5" i="15"/>
  <c r="F2" i="15" a="1"/>
  <c r="F2" i="15" s="1"/>
  <c r="S8" i="12"/>
  <c r="S12" i="12"/>
  <c r="S11" i="12"/>
  <c r="K3" i="12" a="1"/>
  <c r="K3" i="12" s="1"/>
  <c r="S7" i="12"/>
  <c r="I3" i="12" a="1"/>
  <c r="I3" i="12" s="1"/>
  <c r="S6" i="12"/>
  <c r="S16" i="12"/>
  <c r="S5" i="12"/>
  <c r="S15" i="12"/>
  <c r="S14" i="12"/>
  <c r="S13" i="12"/>
  <c r="S10" i="12"/>
  <c r="S9" i="12"/>
  <c r="M3" i="12" a="1"/>
  <c r="M3" i="12" s="1"/>
  <c r="BA15" i="15"/>
  <c r="BA10" i="15"/>
  <c r="BA16" i="15"/>
  <c r="BC6" i="15" l="1"/>
  <c r="BC12" i="15"/>
  <c r="BA6" i="15"/>
  <c r="BA11" i="15"/>
  <c r="BB11" i="15"/>
  <c r="BB14" i="15"/>
  <c r="BA8" i="15"/>
  <c r="BA7" i="15"/>
  <c r="W2" i="15" a="1"/>
  <c r="W2" i="15" s="1"/>
  <c r="BB7" i="15"/>
  <c r="BB8" i="15"/>
  <c r="BA12" i="15"/>
  <c r="BA13" i="15"/>
  <c r="BA5" i="15"/>
  <c r="BA9" i="15"/>
  <c r="BC9" i="15"/>
  <c r="BB13" i="15"/>
  <c r="BB5" i="15"/>
  <c r="BC5" i="15"/>
  <c r="S3" i="12" a="1"/>
  <c r="S3" i="12" s="1"/>
  <c r="K7" i="14" l="1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I5" i="6" l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J22" i="10"/>
  <c r="I22" i="10"/>
  <c r="J7" i="10"/>
  <c r="J8" i="10"/>
  <c r="J9" i="10"/>
  <c r="J10" i="10"/>
  <c r="J11" i="10"/>
  <c r="J12" i="10"/>
  <c r="J14" i="10"/>
  <c r="J19" i="10"/>
  <c r="J20" i="10"/>
  <c r="J21" i="10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D5" i="10"/>
  <c r="J5" i="10" s="1"/>
  <c r="D6" i="10"/>
  <c r="J6" i="10" s="1"/>
  <c r="D7" i="10"/>
  <c r="D8" i="10"/>
  <c r="D9" i="10"/>
  <c r="D10" i="10"/>
  <c r="D11" i="10"/>
  <c r="D12" i="10"/>
  <c r="D13" i="10"/>
  <c r="J13" i="10" s="1"/>
  <c r="D14" i="10"/>
  <c r="D15" i="10"/>
  <c r="J15" i="10" s="1"/>
  <c r="D16" i="10"/>
  <c r="J16" i="10" s="1"/>
  <c r="D17" i="10"/>
  <c r="J17" i="10" s="1"/>
  <c r="D18" i="10"/>
  <c r="J18" i="10" s="1"/>
  <c r="D19" i="10"/>
  <c r="D20" i="10"/>
  <c r="D21" i="10"/>
  <c r="E5" i="5" l="1"/>
  <c r="E6" i="5"/>
  <c r="E7" i="5"/>
  <c r="E8" i="5"/>
  <c r="E9" i="5"/>
  <c r="E10" i="5"/>
  <c r="E11" i="5"/>
  <c r="E12" i="5"/>
  <c r="E13" i="5"/>
  <c r="E14" i="5"/>
  <c r="E15" i="5"/>
  <c r="E16" i="5"/>
  <c r="E5" i="4"/>
  <c r="E6" i="4"/>
  <c r="E7" i="4"/>
  <c r="E8" i="4"/>
  <c r="E9" i="4"/>
  <c r="E10" i="4"/>
  <c r="E11" i="4"/>
  <c r="E12" i="4"/>
  <c r="E13" i="4"/>
  <c r="E14" i="4"/>
  <c r="E15" i="4"/>
  <c r="E16" i="4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Degia Parlopa Pasaribu</author>
  </authors>
  <commentList>
    <comment ref="D4" authorId="0" shapeId="0" xr:uid="{560AB2E9-4209-44CC-836F-48D989B38EF9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Windows Powershell
CopyPaste :
(Get-WmiObject Win32_BIOS).SerialNumber
OR
Get-WmiObject -Class Win32_BIOS | Select-Object SerialNumber</t>
        </r>
      </text>
    </comment>
    <comment ref="V4" authorId="0" shapeId="0" xr:uid="{C4F87730-B083-4A66-B6E2-A908B19F5A33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</t>
        </r>
        <r>
          <rPr>
            <i/>
            <sz val="9"/>
            <color indexed="81"/>
            <rFont val="Tahoma"/>
            <family val="2"/>
          </rPr>
          <t>Windows Powershell.</t>
        </r>
        <r>
          <rPr>
            <sz val="9"/>
            <color indexed="81"/>
            <rFont val="Tahoma"/>
            <family val="2"/>
          </rPr>
          <t xml:space="preserve">
CopyPaste :
$service = Get-WmiObject -Query 'SELECT * FROM SoftwareLicensingService'
$service | Select-Object -ExpandProperty OA3xOriginalProductKey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Degia Parlopa Pasaribu</author>
  </authors>
  <commentList>
    <comment ref="B7" authorId="0" shapeId="0" xr:uid="{252A4586-4FF1-4D35-9378-83BD2041877C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Windows Powershell
CopyPaste :
(Get-WmiObject Win32_BIOS).SerialNumber
OR
Get-WmiObject -Class Win32_BIOS | Select-Object SerialNumber</t>
        </r>
      </text>
    </comment>
    <comment ref="B25" authorId="0" shapeId="0" xr:uid="{130F4A50-9809-405A-90E6-7A893889AA8A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</t>
        </r>
        <r>
          <rPr>
            <i/>
            <sz val="9"/>
            <color indexed="81"/>
            <rFont val="Tahoma"/>
            <family val="2"/>
          </rPr>
          <t>Windows Powershell.</t>
        </r>
        <r>
          <rPr>
            <sz val="9"/>
            <color indexed="81"/>
            <rFont val="Tahoma"/>
            <family val="2"/>
          </rPr>
          <t xml:space="preserve">
CopyPaste :
$service = Get-WmiObject -Query 'SELECT * FROM SoftwareLicensingService'
$service | Select-Object -ExpandProperty OA3xOriginalProductKey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<sst xmlns="http://schemas.openxmlformats.org/spreadsheetml/2006/main" count="1907" uniqueCount="793">
  <si>
    <t>NIP</t>
  </si>
  <si>
    <t>NAME</t>
  </si>
  <si>
    <t>LEVEL</t>
  </si>
  <si>
    <t>DIVISION</t>
  </si>
  <si>
    <t>DEPARTEMENT</t>
  </si>
  <si>
    <t>ID_SITE</t>
  </si>
  <si>
    <t>BUSINESS_UNIT</t>
  </si>
  <si>
    <t>CORPORATE_NAME</t>
  </si>
  <si>
    <t>NO</t>
  </si>
  <si>
    <t>Assistant Manager</t>
  </si>
  <si>
    <t>Deputy General Manager</t>
  </si>
  <si>
    <t>Director</t>
  </si>
  <si>
    <t>General Manager</t>
  </si>
  <si>
    <t>Manager</t>
  </si>
  <si>
    <t>Senior Manager</t>
  </si>
  <si>
    <t>Senior Staff</t>
  </si>
  <si>
    <t>Senior Supervisor</t>
  </si>
  <si>
    <t>Staff</t>
  </si>
  <si>
    <t>Supervisor</t>
  </si>
  <si>
    <t>VACANT</t>
  </si>
  <si>
    <t>Chief Executive Officer</t>
  </si>
  <si>
    <t>Chief Financial Officer</t>
  </si>
  <si>
    <t>Chief Operating Officer</t>
  </si>
  <si>
    <t>Chief Technology Officer</t>
  </si>
  <si>
    <t>Chief Information Officer</t>
  </si>
  <si>
    <t>Chief Marketing Officer</t>
  </si>
  <si>
    <t>Chief Human Resources Officer</t>
  </si>
  <si>
    <t>Chief Compliance Officer</t>
  </si>
  <si>
    <t>Chief Data Officer</t>
  </si>
  <si>
    <t>Chief Analytics Officer</t>
  </si>
  <si>
    <t>Chief Product Officer</t>
  </si>
  <si>
    <t>Level C-Suite</t>
  </si>
  <si>
    <t>Board of Directors</t>
  </si>
  <si>
    <t>Chairman</t>
  </si>
  <si>
    <t>Komisaris Utama</t>
  </si>
  <si>
    <t>Komisaris Independen</t>
  </si>
  <si>
    <t>Direktur</t>
  </si>
  <si>
    <t>Senior Vice President</t>
  </si>
  <si>
    <t>Executive Vice President</t>
  </si>
  <si>
    <t>Vice President</t>
  </si>
  <si>
    <t>Associate Vice President</t>
  </si>
  <si>
    <t>Head of Department</t>
  </si>
  <si>
    <t>Deputy Manager</t>
  </si>
  <si>
    <t>Team Leader</t>
  </si>
  <si>
    <t>Coordinator</t>
  </si>
  <si>
    <t>Foreman</t>
  </si>
  <si>
    <t>Officer</t>
  </si>
  <si>
    <t>Associate</t>
  </si>
  <si>
    <t>Analyst</t>
  </si>
  <si>
    <t>Junior Staff</t>
  </si>
  <si>
    <t>Intern</t>
  </si>
  <si>
    <t>Management Trainee</t>
  </si>
  <si>
    <t>Fresh Graduate</t>
  </si>
  <si>
    <t>NOTE</t>
  </si>
  <si>
    <t>ID.LEVEL</t>
  </si>
  <si>
    <t>L0.01</t>
  </si>
  <si>
    <t>L0.02</t>
  </si>
  <si>
    <t>L0.03</t>
  </si>
  <si>
    <t>L0.04</t>
  </si>
  <si>
    <t>L0.05</t>
  </si>
  <si>
    <t>L0.06</t>
  </si>
  <si>
    <t>L0.07</t>
  </si>
  <si>
    <t>L0.08</t>
  </si>
  <si>
    <t>L0.09</t>
  </si>
  <si>
    <t>L0.10</t>
  </si>
  <si>
    <t>L0.11</t>
  </si>
  <si>
    <t>L0.12</t>
  </si>
  <si>
    <t>L1.13</t>
  </si>
  <si>
    <t>L1.14</t>
  </si>
  <si>
    <t>L1.15</t>
  </si>
  <si>
    <t>L1.16</t>
  </si>
  <si>
    <t>L2.17</t>
  </si>
  <si>
    <t>L2.18</t>
  </si>
  <si>
    <t>L2.19</t>
  </si>
  <si>
    <t>L2.20</t>
  </si>
  <si>
    <t>L3.21</t>
  </si>
  <si>
    <t>L3.22</t>
  </si>
  <si>
    <t>L3.23</t>
  </si>
  <si>
    <t>L3.24</t>
  </si>
  <si>
    <t>L4.25</t>
  </si>
  <si>
    <t>L4.26</t>
  </si>
  <si>
    <t>L4.27</t>
  </si>
  <si>
    <t>L4.28</t>
  </si>
  <si>
    <t>L5.29</t>
  </si>
  <si>
    <t>L5.30</t>
  </si>
  <si>
    <t>L5.31</t>
  </si>
  <si>
    <t>L5.32</t>
  </si>
  <si>
    <t>L5.33</t>
  </si>
  <si>
    <t>L6.34</t>
  </si>
  <si>
    <t>L6.35</t>
  </si>
  <si>
    <t>L6.36</t>
  </si>
  <si>
    <t>L6.37</t>
  </si>
  <si>
    <t>L6.38</t>
  </si>
  <si>
    <t>L6.39</t>
  </si>
  <si>
    <t>L7.40</t>
  </si>
  <si>
    <t>L7.41</t>
  </si>
  <si>
    <t>L7.42</t>
  </si>
  <si>
    <t>Team Control</t>
  </si>
  <si>
    <t>Team Lead</t>
  </si>
  <si>
    <t>Implementer</t>
  </si>
  <si>
    <t>Beginner</t>
  </si>
  <si>
    <t>L0.00</t>
  </si>
  <si>
    <t>Unknown</t>
  </si>
  <si>
    <t>DIRECTORATE</t>
  </si>
  <si>
    <t>Direktur Finance Accounting</t>
  </si>
  <si>
    <t>Direktur Human Capital</t>
  </si>
  <si>
    <t>Direktur Engineering</t>
  </si>
  <si>
    <t>DIR0.00</t>
  </si>
  <si>
    <t>DIR0.01</t>
  </si>
  <si>
    <t>DIR0.02</t>
  </si>
  <si>
    <t>DIR0.03</t>
  </si>
  <si>
    <t>DIR0.04</t>
  </si>
  <si>
    <t>DIR0.05</t>
  </si>
  <si>
    <t>DIR0.06</t>
  </si>
  <si>
    <t>DIR0.07</t>
  </si>
  <si>
    <t>DIR0.08</t>
  </si>
  <si>
    <t>DIR0.09</t>
  </si>
  <si>
    <t>DIR0.10</t>
  </si>
  <si>
    <t>DIR0.11</t>
  </si>
  <si>
    <t>DIR0.12</t>
  </si>
  <si>
    <t>DIR1.13</t>
  </si>
  <si>
    <t>DIR1.14</t>
  </si>
  <si>
    <t>DIR1.15</t>
  </si>
  <si>
    <t>DIR1.16</t>
  </si>
  <si>
    <t>DIR1.17</t>
  </si>
  <si>
    <t>DIR1.18</t>
  </si>
  <si>
    <t>Chief Leasing Officer</t>
  </si>
  <si>
    <t>Information Technology</t>
  </si>
  <si>
    <t>Innovation</t>
  </si>
  <si>
    <t>Finance &amp; Accounting</t>
  </si>
  <si>
    <t>HRD</t>
  </si>
  <si>
    <t>ISO</t>
  </si>
  <si>
    <t>Operation</t>
  </si>
  <si>
    <t>Engineering</t>
  </si>
  <si>
    <t>Marketing &amp; Commercial</t>
  </si>
  <si>
    <t>Legal &amp; Government Relation</t>
  </si>
  <si>
    <t>Leasing</t>
  </si>
  <si>
    <t>Property Office Management</t>
  </si>
  <si>
    <t>DIV0.00</t>
  </si>
  <si>
    <t>DIV0.01</t>
  </si>
  <si>
    <t>DIV0.02</t>
  </si>
  <si>
    <t>DIV0.03</t>
  </si>
  <si>
    <t>DIV0.04</t>
  </si>
  <si>
    <t>DIV0.05</t>
  </si>
  <si>
    <t>DIV0.06</t>
  </si>
  <si>
    <t>DIV0.07</t>
  </si>
  <si>
    <t>DIV0.08</t>
  </si>
  <si>
    <t>DIV0.09</t>
  </si>
  <si>
    <t>DIV0.10</t>
  </si>
  <si>
    <t>DIV0.11</t>
  </si>
  <si>
    <t>SUB-DEPARTEMENT</t>
  </si>
  <si>
    <t>IT Network</t>
  </si>
  <si>
    <t>IT Server</t>
  </si>
  <si>
    <t>IT Project</t>
  </si>
  <si>
    <t>IT Operation</t>
  </si>
  <si>
    <t>IT Application</t>
  </si>
  <si>
    <t>IT Infrastructure</t>
  </si>
  <si>
    <t>IT Operation &amp; Project</t>
  </si>
  <si>
    <t>DIRECTORATE ACTUALS</t>
  </si>
  <si>
    <t>IT Complience</t>
  </si>
  <si>
    <t>IT Security &amp; Complience</t>
  </si>
  <si>
    <t>IT Cyber Security</t>
  </si>
  <si>
    <t>Corporate consolidation, Reporting &amp; Analisis</t>
  </si>
  <si>
    <t>Procurement</t>
  </si>
  <si>
    <t>Research &amp; Development</t>
  </si>
  <si>
    <t>Chief Finance Officer</t>
  </si>
  <si>
    <t>Purchasing</t>
  </si>
  <si>
    <t>Corporate Finance</t>
  </si>
  <si>
    <t>Reporting</t>
  </si>
  <si>
    <t>Collection</t>
  </si>
  <si>
    <t>Tax</t>
  </si>
  <si>
    <t>Accounting</t>
  </si>
  <si>
    <t>Asset Management &amp; Controller</t>
  </si>
  <si>
    <t>Cashier</t>
  </si>
  <si>
    <t>Accounting &amp; Account Raceivable</t>
  </si>
  <si>
    <t>Account Raceivable</t>
  </si>
  <si>
    <t>Account Payable</t>
  </si>
  <si>
    <t>Account Payable &amp; Cashier</t>
  </si>
  <si>
    <t>Procurement &amp; Purchasing</t>
  </si>
  <si>
    <t>Human Resource &amp; Development</t>
  </si>
  <si>
    <t>Talent Acquisition</t>
  </si>
  <si>
    <t>Compensation &amp; Benefit</t>
  </si>
  <si>
    <t>Internal Audit &amp; Business Process</t>
  </si>
  <si>
    <t>People Development &amp; Career Management</t>
  </si>
  <si>
    <t>Employer Branding</t>
  </si>
  <si>
    <t>Warehouse</t>
  </si>
  <si>
    <t>Office Boy</t>
  </si>
  <si>
    <t>Messenger</t>
  </si>
  <si>
    <t>GA Operation</t>
  </si>
  <si>
    <t>Contract &amp; Payment Control</t>
  </si>
  <si>
    <t>Business Partner</t>
  </si>
  <si>
    <t>Storekeeper</t>
  </si>
  <si>
    <t>Housekeeping &amp;Parking</t>
  </si>
  <si>
    <t>Housekeeping</t>
  </si>
  <si>
    <t>Parking</t>
  </si>
  <si>
    <t>Safety</t>
  </si>
  <si>
    <t>HSE</t>
  </si>
  <si>
    <t>HSE &amp; Safety</t>
  </si>
  <si>
    <t>GEA &amp; TR</t>
  </si>
  <si>
    <t>GEA</t>
  </si>
  <si>
    <t>TR</t>
  </si>
  <si>
    <t>Landscape</t>
  </si>
  <si>
    <t>Security</t>
  </si>
  <si>
    <t>F &amp; B</t>
  </si>
  <si>
    <t>Sustainability</t>
  </si>
  <si>
    <t>Handling Compliant</t>
  </si>
  <si>
    <t>Operational Genset &amp; Control Room</t>
  </si>
  <si>
    <t>Operational CCTV</t>
  </si>
  <si>
    <t>SDP0.00</t>
  </si>
  <si>
    <t>SDP1.01</t>
  </si>
  <si>
    <t>SDP1.02</t>
  </si>
  <si>
    <t>SDP1.03</t>
  </si>
  <si>
    <t>SDP1.04</t>
  </si>
  <si>
    <t>SDP1.05</t>
  </si>
  <si>
    <t>SDP1.06</t>
  </si>
  <si>
    <t>SDP1.07</t>
  </si>
  <si>
    <t>SDP1.08</t>
  </si>
  <si>
    <t>SDP1.09</t>
  </si>
  <si>
    <t>SDP1.10</t>
  </si>
  <si>
    <t>SDP1.11</t>
  </si>
  <si>
    <t>SDP1.12</t>
  </si>
  <si>
    <t>SDP1.13</t>
  </si>
  <si>
    <t>SDP1.14</t>
  </si>
  <si>
    <t>SDP1.15</t>
  </si>
  <si>
    <t>SDP1.16</t>
  </si>
  <si>
    <t>SDP1.17</t>
  </si>
  <si>
    <t>SDP1.18</t>
  </si>
  <si>
    <t>SDP1.19</t>
  </si>
  <si>
    <t>SDP1.20</t>
  </si>
  <si>
    <t>SDP1.21</t>
  </si>
  <si>
    <t>SDP1.22</t>
  </si>
  <si>
    <t>SDP1.23</t>
  </si>
  <si>
    <t>SDP1.24</t>
  </si>
  <si>
    <t>SDP1.25</t>
  </si>
  <si>
    <t>SDP1.26</t>
  </si>
  <si>
    <t>SDP1.27</t>
  </si>
  <si>
    <t>SDP1.28</t>
  </si>
  <si>
    <t>SDP1.29</t>
  </si>
  <si>
    <t>SDP1.30</t>
  </si>
  <si>
    <t>SDP1.31</t>
  </si>
  <si>
    <t>SDP1.32</t>
  </si>
  <si>
    <t>SDP1.33</t>
  </si>
  <si>
    <t>SDP1.34</t>
  </si>
  <si>
    <t>SDP1.35</t>
  </si>
  <si>
    <t>SDP1.36</t>
  </si>
  <si>
    <t>SDP1.37</t>
  </si>
  <si>
    <t>SDP1.38</t>
  </si>
  <si>
    <t>SDP1.39</t>
  </si>
  <si>
    <t>SDP1.40</t>
  </si>
  <si>
    <t>SDP1.41</t>
  </si>
  <si>
    <t>SDP1.42</t>
  </si>
  <si>
    <t>SDP1.43</t>
  </si>
  <si>
    <t>SDP1.44</t>
  </si>
  <si>
    <t>SDP1.45</t>
  </si>
  <si>
    <t>SDP1.46</t>
  </si>
  <si>
    <t>SDP1.47</t>
  </si>
  <si>
    <t>SDP1.48</t>
  </si>
  <si>
    <t>SDP1.49</t>
  </si>
  <si>
    <t>SDP1.50</t>
  </si>
  <si>
    <t>SDP1.51</t>
  </si>
  <si>
    <t>SDP1.52</t>
  </si>
  <si>
    <t>DPT0.00</t>
  </si>
  <si>
    <t>DPT0.01</t>
  </si>
  <si>
    <t>DPT0.02</t>
  </si>
  <si>
    <t>DPT0.03</t>
  </si>
  <si>
    <t>DPT0.04</t>
  </si>
  <si>
    <t>DPT0.05</t>
  </si>
  <si>
    <t>DPT0.06</t>
  </si>
  <si>
    <t>DPT0.07</t>
  </si>
  <si>
    <t>DPT0.08</t>
  </si>
  <si>
    <t>DPT0.09</t>
  </si>
  <si>
    <t>DPT0.10</t>
  </si>
  <si>
    <t>DPT0.11</t>
  </si>
  <si>
    <t>EMPTY</t>
  </si>
  <si>
    <t>HQ ALL</t>
  </si>
  <si>
    <t>BIS.00</t>
  </si>
  <si>
    <t>BIS.03</t>
  </si>
  <si>
    <t>BIS.04</t>
  </si>
  <si>
    <t>BIS.05</t>
  </si>
  <si>
    <t>BIS.06</t>
  </si>
  <si>
    <t>BIS.07</t>
  </si>
  <si>
    <t>BIS.08</t>
  </si>
  <si>
    <t>BIS.09</t>
  </si>
  <si>
    <t>BIS.10</t>
  </si>
  <si>
    <t>BIS.11</t>
  </si>
  <si>
    <t>PT. Mandiri Andal Sejahtera</t>
  </si>
  <si>
    <t>MAS</t>
  </si>
  <si>
    <t>HQAL</t>
  </si>
  <si>
    <t>STATUS</t>
  </si>
  <si>
    <t>MNCA</t>
  </si>
  <si>
    <t>Column1</t>
  </si>
  <si>
    <t>SITE_UNIT</t>
  </si>
  <si>
    <t>M02</t>
  </si>
  <si>
    <t>O99</t>
  </si>
  <si>
    <t>M03</t>
  </si>
  <si>
    <t>Date_Hiring</t>
  </si>
  <si>
    <t>Date_Resign</t>
  </si>
  <si>
    <t>MJS</t>
  </si>
  <si>
    <t>SDP1.99</t>
  </si>
  <si>
    <t>Admin</t>
  </si>
  <si>
    <t>SDP0.01</t>
  </si>
  <si>
    <t>SALARY</t>
  </si>
  <si>
    <t>QUERY</t>
  </si>
  <si>
    <t>CONVERTDH</t>
  </si>
  <si>
    <t>CONVERTDR</t>
  </si>
  <si>
    <t>ID_LEVEL</t>
  </si>
  <si>
    <t>ID_SO</t>
  </si>
  <si>
    <t>ID_DIRECTORATE</t>
  </si>
  <si>
    <t>ID_DIVISION</t>
  </si>
  <si>
    <t>ID_DEPARTEMENT</t>
  </si>
  <si>
    <t>ID_SUB_DEPARTEMENT</t>
  </si>
  <si>
    <t>ID_DIV</t>
  </si>
  <si>
    <t>ID_DIR</t>
  </si>
  <si>
    <t>ID_DPT1</t>
  </si>
  <si>
    <t>MAIL</t>
  </si>
  <si>
    <t>degia.parlopa@asri.co.id</t>
  </si>
  <si>
    <t>ariya.ramsi@asri.co.id</t>
  </si>
  <si>
    <t>albin.wangsa@asri.co.id</t>
  </si>
  <si>
    <t>aldo.wowor@asri.co.id</t>
  </si>
  <si>
    <t>fransiskus.simson@asri.co.id</t>
  </si>
  <si>
    <t>hardi.wasisto@asri.co.id</t>
  </si>
  <si>
    <t>irfan.suparman@asri.co.id</t>
  </si>
  <si>
    <t>moh.ramadhan@asri.co.id</t>
  </si>
  <si>
    <t>johari.johari@asri.co.id</t>
  </si>
  <si>
    <t>candra.segren@asri.co.id</t>
  </si>
  <si>
    <t>patrick.lay@asri.co.id</t>
  </si>
  <si>
    <t>sarah.durry@asri.co.id</t>
  </si>
  <si>
    <t>thoyyib.abdillah@asri.co.id</t>
  </si>
  <si>
    <t>johnson.lopulisa@asri.co.id</t>
  </si>
  <si>
    <t>wilson.wilson@asri.co.id</t>
  </si>
  <si>
    <t>wuwanjie.septian@asri.co.id</t>
  </si>
  <si>
    <t>DOMAIN</t>
  </si>
  <si>
    <t>PIC</t>
  </si>
  <si>
    <t>PIC_NIP</t>
  </si>
  <si>
    <t>-</t>
  </si>
  <si>
    <t>USER</t>
  </si>
  <si>
    <t>NULL</t>
  </si>
  <si>
    <t>LICENSE_TYPE</t>
  </si>
  <si>
    <t>TYPE</t>
  </si>
  <si>
    <t>STANDARD</t>
  </si>
  <si>
    <t>NO_TLP</t>
  </si>
  <si>
    <t>EMAIL</t>
  </si>
  <si>
    <t>AD</t>
  </si>
  <si>
    <t>johnson.lopulisa</t>
  </si>
  <si>
    <t>ariya.ramsi</t>
  </si>
  <si>
    <t>wuwanjie.septian</t>
  </si>
  <si>
    <t>wilson.wilson</t>
  </si>
  <si>
    <t>candra.segren</t>
  </si>
  <si>
    <t>albin.wangsa</t>
  </si>
  <si>
    <t>hardi.wasisto</t>
  </si>
  <si>
    <t>aldo.wowor</t>
  </si>
  <si>
    <t>johari.johari</t>
  </si>
  <si>
    <t>degia.parlopa</t>
  </si>
  <si>
    <t>fransiskus.simson</t>
  </si>
  <si>
    <t>irfan.suparman</t>
  </si>
  <si>
    <t>patrick.lay</t>
  </si>
  <si>
    <t>thoyyib.abdillah</t>
  </si>
  <si>
    <t>moh.ramadhan</t>
  </si>
  <si>
    <t>sarah.durry</t>
  </si>
  <si>
    <t>MFA</t>
  </si>
  <si>
    <t>ACTIVED</t>
  </si>
  <si>
    <t>DEACTIVED</t>
  </si>
  <si>
    <t>COL</t>
  </si>
  <si>
    <t>PASSWORD</t>
  </si>
  <si>
    <t>CREATE_DATE</t>
  </si>
  <si>
    <t>MODIFIED_DATE</t>
  </si>
  <si>
    <t>NET_ACCESS</t>
  </si>
  <si>
    <t>SVR_ACCESS</t>
  </si>
  <si>
    <t>WST_ACCESS</t>
  </si>
  <si>
    <t>YES</t>
  </si>
  <si>
    <t>ADMINISTRATOR</t>
  </si>
  <si>
    <t>administrator</t>
  </si>
  <si>
    <t>MJSITMOI</t>
  </si>
  <si>
    <t>PSWD</t>
  </si>
  <si>
    <t>6d6a7369746d6f69</t>
  </si>
  <si>
    <t>Microsoft Office 365</t>
  </si>
  <si>
    <t>admin@asri.co.id</t>
  </si>
  <si>
    <t>SU-ADMIN</t>
  </si>
  <si>
    <t>CD</t>
  </si>
  <si>
    <t>MD</t>
  </si>
  <si>
    <t>EMIAIL</t>
  </si>
  <si>
    <t>FUNC</t>
  </si>
  <si>
    <t>TEST</t>
  </si>
  <si>
    <t>nomail</t>
  </si>
  <si>
    <t>VAC</t>
  </si>
  <si>
    <t>Country</t>
  </si>
  <si>
    <t>Provincy</t>
  </si>
  <si>
    <t>City</t>
  </si>
  <si>
    <t>Address</t>
  </si>
  <si>
    <t>Url_maps</t>
  </si>
  <si>
    <t>A01</t>
  </si>
  <si>
    <t>Taman Anggrek Residence</t>
  </si>
  <si>
    <t>Apartement</t>
  </si>
  <si>
    <t>Indonesia</t>
  </si>
  <si>
    <t>Jakarta</t>
  </si>
  <si>
    <t>Jakarta Barat</t>
  </si>
  <si>
    <t>Jl. Tj. Duren Timur 2 No.12, RT.12/RW.1, Tj. Duren Sel., Kec. Grogol petamburan, Kota Jakarta Barat, Daerah Khusus Ibukota Jakarta 11470</t>
  </si>
  <si>
    <t>https://maps.app.goo.gl/RczWGcAEpFTuXA6G7</t>
  </si>
  <si>
    <t>A02</t>
  </si>
  <si>
    <t>Fatmawati City Center</t>
  </si>
  <si>
    <t>Jakarta Selatan</t>
  </si>
  <si>
    <t>Jl. Fatmawati Raya, RT.3/RW.9, Cilandak Bar., Kec. Cilandak, Kota Jakarta Selatan, Daerah Khusus Ibukota Jakarta 12430</t>
  </si>
  <si>
    <t>https://maps.app.goo.gl/cZ7XNNiT6Kxgmu7f7</t>
  </si>
  <si>
    <t>A03</t>
  </si>
  <si>
    <t>Menara Jakarta</t>
  </si>
  <si>
    <t>Jakarta Utara</t>
  </si>
  <si>
    <t>Arena Pekan Raya Jkt - Kemayoran, Jl. H. Benyamin Sueb No.10, RW.10, Gn. Sahari Sel., Kec. Kemayoran, Jkt Utara, Daerah Khusus Ibukota Jakarta 14410</t>
  </si>
  <si>
    <t>https://maps.app.goo.gl/nmdtJgPT3FR2HnWU6</t>
  </si>
  <si>
    <t>A04</t>
  </si>
  <si>
    <t>French Walk</t>
  </si>
  <si>
    <t>Kelapa Gading Barat, Kelapa Gading, RT.18/RW.8, RT.18/RW.8, Klp. Gading Bar., Jakarta Utara, Jkt Utara, Daerah Khusus Ibukota Jakarta 14240</t>
  </si>
  <si>
    <t>https://maps.app.goo.gl/pbEgWFSERS9ka2n28</t>
  </si>
  <si>
    <t>F01</t>
  </si>
  <si>
    <t>FLIX PIK</t>
  </si>
  <si>
    <t>Cinema</t>
  </si>
  <si>
    <t>Pantai Indah Kapuk St Boulevard, RT.6/RW.2, Kamal Muara, Penjaringan, North Jakarta City, Jakarta 14470</t>
  </si>
  <si>
    <t>https://maps.app.goo.gl/y1gkFm9bwuNjVQe2A</t>
  </si>
  <si>
    <t>F02</t>
  </si>
  <si>
    <t>FLIX MOI</t>
  </si>
  <si>
    <t>Jl. Boulevard Bar. Raya No.12, RT.18/RW.19, Klp. Gading Bar., Kec. Klp. Gading, Jkt Utara, Daerah Khusus Ibukota Jakarta 14240</t>
  </si>
  <si>
    <t>https://maps.app.goo.gl/CDafTWd9qFpdTmW67</t>
  </si>
  <si>
    <t>F03</t>
  </si>
  <si>
    <t>FLIX GGP</t>
  </si>
  <si>
    <t>Bekasi Selatan</t>
  </si>
  <si>
    <t>Jl. Boulevard Raya No.1, RT.003/RW.017, Jaka Setia, Kec. Bekasi Sel., Kota Bks, Jawa Barat 17147</t>
  </si>
  <si>
    <t>https://maps.app.goo.gl/8VVfF28Grsr9G2mU8</t>
  </si>
  <si>
    <t>F04</t>
  </si>
  <si>
    <t>FLIX ASHTA</t>
  </si>
  <si>
    <t>Jl. Senopati No.83, Senayan, Kec. Kby. Baru, Kota Jakarta Selatan, Daerah Khusus Ibukota Jakarta 12190</t>
  </si>
  <si>
    <t>https://maps.app.goo.gl/JJhw2MQg4rf476B59</t>
  </si>
  <si>
    <t>F99</t>
  </si>
  <si>
    <t>FLIX SHQ</t>
  </si>
  <si>
    <t>H01</t>
  </si>
  <si>
    <t>Swiss Hotel</t>
  </si>
  <si>
    <t>Hotel</t>
  </si>
  <si>
    <t>H02</t>
  </si>
  <si>
    <t>Mercure</t>
  </si>
  <si>
    <t>H03</t>
  </si>
  <si>
    <t>Lengham</t>
  </si>
  <si>
    <t>Jalan Senopati Raya No.8B, RT.5/RW.3, Senayan, Kec. Kby. Baru, Kota Jakarta Selatan, Daerah Khusus Ibukota Jakarta 12190</t>
  </si>
  <si>
    <t>https://maps.app.goo.gl/RNChXHeZVaHL4C5HA</t>
  </si>
  <si>
    <t>M01</t>
  </si>
  <si>
    <t>PIK Avenue</t>
  </si>
  <si>
    <t>Mall</t>
  </si>
  <si>
    <t>MOI</t>
  </si>
  <si>
    <t>GGP</t>
  </si>
  <si>
    <t>Jawa Barat</t>
  </si>
  <si>
    <t>M04</t>
  </si>
  <si>
    <t>ASHTA</t>
  </si>
  <si>
    <t>M05</t>
  </si>
  <si>
    <t>Hublife</t>
  </si>
  <si>
    <t>Jl. Tanjung Duren Timur No.2, RW.5, Tj. Duren Sel., Kec. Grogol petamburan, Kota Jakarta Barat, Daerah Khusus Ibukota Jakarta 11470</t>
  </si>
  <si>
    <t>https://maps.app.goo.gl/xFdujp585bfoE3qn6</t>
  </si>
  <si>
    <t>M06</t>
  </si>
  <si>
    <t>ASG Tower</t>
  </si>
  <si>
    <t>Ofiice</t>
  </si>
  <si>
    <t>ASG Tower, Jl. Pantai Indah Kapuk No.2, RT.6/RW.2, Kamal Muara, Kec. Penjaringan, Jkt Utara, Daerah Khusus Ibukota Jakarta 14470</t>
  </si>
  <si>
    <t>https://maps.app.goo.gl/rTbagH72jdi6VfLk9</t>
  </si>
  <si>
    <t>OD8</t>
  </si>
  <si>
    <t>District 8</t>
  </si>
  <si>
    <t>No SITE</t>
  </si>
  <si>
    <t>No Placement</t>
  </si>
  <si>
    <t>No Country</t>
  </si>
  <si>
    <t>No Provincy</t>
  </si>
  <si>
    <t>No City</t>
  </si>
  <si>
    <t>No Address</t>
  </si>
  <si>
    <t>SITE</t>
  </si>
  <si>
    <t>COMPANY</t>
  </si>
  <si>
    <t>No Company</t>
  </si>
  <si>
    <t>K-Mall</t>
  </si>
  <si>
    <t>PT. MAP</t>
  </si>
  <si>
    <t>PT. AMA</t>
  </si>
  <si>
    <t>PT. PPP</t>
  </si>
  <si>
    <t>PT. MJS</t>
  </si>
  <si>
    <t>PT. BJK</t>
  </si>
  <si>
    <t>PT. AKMA</t>
  </si>
  <si>
    <t>PT. KAM</t>
  </si>
  <si>
    <t>PT. MAS</t>
  </si>
  <si>
    <t>ID_ASSET</t>
  </si>
  <si>
    <t>HOSTNAME</t>
  </si>
  <si>
    <t>SN</t>
  </si>
  <si>
    <t>BARCODE</t>
  </si>
  <si>
    <t>BRAND</t>
  </si>
  <si>
    <t>PROCESSORS</t>
  </si>
  <si>
    <t>GEN</t>
  </si>
  <si>
    <t>OS_TYPE</t>
  </si>
  <si>
    <t>DISK2_TYPE</t>
  </si>
  <si>
    <t>DISK2_CAP</t>
  </si>
  <si>
    <t>DISK1_TYPE</t>
  </si>
  <si>
    <t>DISK1_CAP</t>
  </si>
  <si>
    <t>RAM_TYPE</t>
  </si>
  <si>
    <t>RAM_SLOT</t>
  </si>
  <si>
    <t>RAM_CAP</t>
  </si>
  <si>
    <t>CATEGORY</t>
  </si>
  <si>
    <t>NB.0412</t>
  </si>
  <si>
    <t>O99-ITD-NB017</t>
  </si>
  <si>
    <t>GC8JX14</t>
  </si>
  <si>
    <t>MASHQEQP2400014</t>
  </si>
  <si>
    <t>LAPTOP</t>
  </si>
  <si>
    <t>DELL</t>
  </si>
  <si>
    <t>Latitude 5440</t>
  </si>
  <si>
    <t>i7-1365U</t>
  </si>
  <si>
    <t>1 of 2</t>
  </si>
  <si>
    <t>DDR4, SO-DIMM, 3200Mhz</t>
  </si>
  <si>
    <t>PRODUCT_ID</t>
  </si>
  <si>
    <t>PRODUCT_KEY</t>
  </si>
  <si>
    <t>OS</t>
  </si>
  <si>
    <t>in GB</t>
  </si>
  <si>
    <t>NA</t>
  </si>
  <si>
    <t>Windows</t>
  </si>
  <si>
    <t>Windows 11 Pro</t>
  </si>
  <si>
    <t>00356-24531-33852-AAOEM</t>
  </si>
  <si>
    <t>OS_VER</t>
  </si>
  <si>
    <t>24H2</t>
  </si>
  <si>
    <t>DC</t>
  </si>
  <si>
    <t>FCC</t>
  </si>
  <si>
    <t>mWh</t>
  </si>
  <si>
    <t>BH</t>
  </si>
  <si>
    <t>CASING</t>
  </si>
  <si>
    <t>DISPLAY</t>
  </si>
  <si>
    <t>KEYBOARD</t>
  </si>
  <si>
    <t>TOUCHPAD</t>
  </si>
  <si>
    <t>PORT_USB</t>
  </si>
  <si>
    <t>PORT_JECK</t>
  </si>
  <si>
    <t>PORT_PSU</t>
  </si>
  <si>
    <t>FAN</t>
  </si>
  <si>
    <t>WEBCAM</t>
  </si>
  <si>
    <t>MICROFON</t>
  </si>
  <si>
    <t>SPEAKER</t>
  </si>
  <si>
    <t>CONNECTION</t>
  </si>
  <si>
    <t>WiFI, Ethernet</t>
  </si>
  <si>
    <t>Good</t>
  </si>
  <si>
    <t>PORT_DISPLAY</t>
  </si>
  <si>
    <t>HDMI [Good]</t>
  </si>
  <si>
    <t>CONDITION</t>
  </si>
  <si>
    <t>SUB_CON</t>
  </si>
  <si>
    <t>NOTE_CON</t>
  </si>
  <si>
    <t>SOLUTION</t>
  </si>
  <si>
    <t>NOTE_SOL</t>
  </si>
  <si>
    <t>NOTE_FUNC</t>
  </si>
  <si>
    <t>HISTORY_PIC</t>
  </si>
  <si>
    <t>LOCATION</t>
  </si>
  <si>
    <t>NOTE_LOC</t>
  </si>
  <si>
    <t>STATUS_FUNC</t>
  </si>
  <si>
    <t>ID_MAINTENANCE</t>
  </si>
  <si>
    <t>NO_PR</t>
  </si>
  <si>
    <t>NO_PO</t>
  </si>
  <si>
    <t>DATE_PO</t>
  </si>
  <si>
    <t>DATE_PR</t>
  </si>
  <si>
    <t>QTY</t>
  </si>
  <si>
    <t>MASHQEQP2400063</t>
  </si>
  <si>
    <t>POP/ASR/1124/009</t>
  </si>
  <si>
    <t>PR/ASR/0424/003</t>
  </si>
  <si>
    <t>PR/ASR/0124/003</t>
  </si>
  <si>
    <t>MASHQEQP2400003</t>
  </si>
  <si>
    <t>POP/ASR/0124/013</t>
  </si>
  <si>
    <t>POP/ASR/0524/005</t>
  </si>
  <si>
    <t>CONVDPR</t>
  </si>
  <si>
    <t>CONVPO</t>
  </si>
  <si>
    <t>MASHQEQP2400037</t>
  </si>
  <si>
    <t>MASHQEQP2400036</t>
  </si>
  <si>
    <t>MASHQEQP2400053</t>
  </si>
  <si>
    <t>MASHQEQP2400061</t>
  </si>
  <si>
    <t>MASHQEQP2400062</t>
  </si>
  <si>
    <t>MASHQEQP2400066</t>
  </si>
  <si>
    <t>JSBKWS2</t>
  </si>
  <si>
    <t>J8Q5HX3</t>
  </si>
  <si>
    <t>2CQ7FX3</t>
  </si>
  <si>
    <t>94BJM44</t>
  </si>
  <si>
    <t>74BJM44</t>
  </si>
  <si>
    <t>BB1JM44</t>
  </si>
  <si>
    <t>B76JM44</t>
  </si>
  <si>
    <t>CS9JM44</t>
  </si>
  <si>
    <t>15BJM44</t>
  </si>
  <si>
    <t>FC1JM44</t>
  </si>
  <si>
    <t>K7MSAC0001113SF</t>
  </si>
  <si>
    <t>POP/ASR/1123/006</t>
  </si>
  <si>
    <t>08/12/2023</t>
  </si>
  <si>
    <t>DATE_SHIPPING</t>
  </si>
  <si>
    <t>CONVSHP</t>
  </si>
  <si>
    <t>POP/ASR/1024/005</t>
  </si>
  <si>
    <t>POP/ASR/1124/001</t>
  </si>
  <si>
    <t>POP/ASR/1024/003</t>
  </si>
  <si>
    <t>22/02/2024</t>
  </si>
  <si>
    <t>03/06/2024</t>
  </si>
  <si>
    <t>28/10/2024</t>
  </si>
  <si>
    <t>21/11/2024</t>
  </si>
  <si>
    <t>02/12/2024</t>
  </si>
  <si>
    <t>09/12/2024</t>
  </si>
  <si>
    <t>NB.0326</t>
  </si>
  <si>
    <t>NB.0384</t>
  </si>
  <si>
    <t>NB.0399</t>
  </si>
  <si>
    <t>NB.0447</t>
  </si>
  <si>
    <t>NB.0448</t>
  </si>
  <si>
    <t>NB.0452</t>
  </si>
  <si>
    <t>NB.0470</t>
  </si>
  <si>
    <t>NB.0471</t>
  </si>
  <si>
    <t>NB.0472</t>
  </si>
  <si>
    <t>NB.0475</t>
  </si>
  <si>
    <t>DT.0374</t>
  </si>
  <si>
    <t>O99-ITD-NB012</t>
  </si>
  <si>
    <t>O99-ITD-NB015</t>
  </si>
  <si>
    <t>O99-ITD-NB016</t>
  </si>
  <si>
    <t>O99-ITD-NB018</t>
  </si>
  <si>
    <t>O99-ITD-NB019</t>
  </si>
  <si>
    <t>O99-ITD-NB020</t>
  </si>
  <si>
    <t>O99-ITD-NB021</t>
  </si>
  <si>
    <t>O99-ITD-NB022</t>
  </si>
  <si>
    <t>O99-ITD-NB024</t>
  </si>
  <si>
    <t>O99-ITD-DT001</t>
  </si>
  <si>
    <t>Latitude 3490</t>
  </si>
  <si>
    <t>Latitude 3430</t>
  </si>
  <si>
    <t>Latitude 5540</t>
  </si>
  <si>
    <t>Latitude 3450</t>
  </si>
  <si>
    <t>Mini PC PN60-R</t>
  </si>
  <si>
    <t>i5-8250U</t>
  </si>
  <si>
    <t>i3-1215U</t>
  </si>
  <si>
    <t>i7-1370P</t>
  </si>
  <si>
    <t>i5-1345U</t>
  </si>
  <si>
    <t>HDD SATA 2.5"</t>
  </si>
  <si>
    <t>NORMAL</t>
  </si>
  <si>
    <t>GREAT</t>
  </si>
  <si>
    <t>POOR</t>
  </si>
  <si>
    <t>Hardware : Need to be Upgrade Performance</t>
  </si>
  <si>
    <t>Normal</t>
  </si>
  <si>
    <t>GOOD PERFORMANCE</t>
  </si>
  <si>
    <t>Upgrade RAM</t>
  </si>
  <si>
    <t>Tidak ada</t>
  </si>
  <si>
    <t>Ex Degia Parlopa</t>
  </si>
  <si>
    <t>Ex Aditya Gustiyana</t>
  </si>
  <si>
    <t>Meja IT LT.21 ASGT</t>
  </si>
  <si>
    <t>SYSTEM</t>
  </si>
  <si>
    <t>PC as Backups Email Users</t>
  </si>
  <si>
    <t>PR/ASR/1123/005</t>
  </si>
  <si>
    <t>DATE_ACQUISITION</t>
  </si>
  <si>
    <t>COLL-SUPPORT1</t>
  </si>
  <si>
    <t>CONVACQ</t>
  </si>
  <si>
    <t>VAL-1</t>
  </si>
  <si>
    <t>00355-60997-88773-AAOEM</t>
  </si>
  <si>
    <t>2 of 2</t>
  </si>
  <si>
    <t>DDR5, SO-DIMM, 4800 / 5600 Mhz</t>
  </si>
  <si>
    <t>SSD M.2 Nvme/SK Hynix BC901</t>
  </si>
  <si>
    <t>Disk Type/BrandType</t>
  </si>
  <si>
    <t>SSD M.2 Nvme/WD PC SN740</t>
  </si>
  <si>
    <t>TBD</t>
  </si>
  <si>
    <t>PERSONAL</t>
  </si>
  <si>
    <t>MOBILE</t>
  </si>
  <si>
    <t>USER MOBILE</t>
  </si>
  <si>
    <t>00355-61745-26884-AAOEM</t>
  </si>
  <si>
    <t>DDR5, SO-DIMM, 5600 Mhz</t>
  </si>
  <si>
    <t>SSD M.2 Nvme/Micorn 2400A</t>
  </si>
  <si>
    <t>O99-ITD-NB099</t>
  </si>
  <si>
    <t>Y83MP-N97VD-98VFC-7YHQ4-844TG</t>
  </si>
  <si>
    <t>A[3/3]-C[1/1]</t>
  </si>
  <si>
    <t>MASHQEQP2300012</t>
  </si>
  <si>
    <t>OWNER_CODE</t>
  </si>
  <si>
    <t>RECIPIENT</t>
  </si>
  <si>
    <t>CODE_ITEM</t>
  </si>
  <si>
    <t>EQP-001</t>
  </si>
  <si>
    <t>PRICE</t>
  </si>
  <si>
    <t>EQP-002</t>
  </si>
  <si>
    <t>EQP-003</t>
  </si>
  <si>
    <t>EQP-004</t>
  </si>
  <si>
    <t>EQP-005</t>
  </si>
  <si>
    <t>EQP-006</t>
  </si>
  <si>
    <t>EQP-007</t>
  </si>
  <si>
    <t>EQP-008</t>
  </si>
  <si>
    <t>EQP-009</t>
  </si>
  <si>
    <t>EQP-010</t>
  </si>
  <si>
    <t>EQP-011</t>
  </si>
  <si>
    <t>EQP-012</t>
  </si>
  <si>
    <t>EQP-013</t>
  </si>
  <si>
    <t>EQP-014</t>
  </si>
  <si>
    <t>EQP-015</t>
  </si>
  <si>
    <t>EQP-016</t>
  </si>
  <si>
    <t>EQP-017</t>
  </si>
  <si>
    <t>PC DESKTOP</t>
  </si>
  <si>
    <t>DESKTOP</t>
  </si>
  <si>
    <t>SERVER</t>
  </si>
  <si>
    <t>EQUIPMENT</t>
  </si>
  <si>
    <t>✓</t>
  </si>
  <si>
    <t>DPT0.12</t>
  </si>
  <si>
    <t>DPT0.13</t>
  </si>
  <si>
    <t>DPT0.14</t>
  </si>
  <si>
    <t>DPT0.15</t>
  </si>
  <si>
    <t>DPT0.16</t>
  </si>
  <si>
    <t>DPT0.17</t>
  </si>
  <si>
    <t>DPT0.18</t>
  </si>
  <si>
    <t>DPT0.19</t>
  </si>
  <si>
    <t>MAP</t>
  </si>
  <si>
    <t>VARCHAR</t>
  </si>
  <si>
    <t>ME01</t>
  </si>
  <si>
    <t>ME00</t>
  </si>
  <si>
    <t>ME02</t>
  </si>
  <si>
    <t>ME03</t>
  </si>
  <si>
    <t>MAINTENANCE</t>
  </si>
  <si>
    <t>PREVENTIVE</t>
  </si>
  <si>
    <t>TIME_DESC</t>
  </si>
  <si>
    <t>CORRECTIVE</t>
  </si>
  <si>
    <t>PREDICTIVE</t>
  </si>
  <si>
    <t>PERIODICALLY</t>
  </si>
  <si>
    <t>AFTER BEING DAMAGED</t>
  </si>
  <si>
    <t>BASED ON PREDICTIONS</t>
  </si>
  <si>
    <t>PROACTIVE</t>
  </si>
  <si>
    <t>REACTIVE</t>
  </si>
  <si>
    <t>SMART PROACTIVE</t>
  </si>
  <si>
    <t>CHARACTERISTIC</t>
  </si>
  <si>
    <t>ID_MAINTENANCE2</t>
  </si>
  <si>
    <t>ID_TASK</t>
  </si>
  <si>
    <t>SCHEDULE_TASK</t>
  </si>
  <si>
    <t>SCH_CONV</t>
  </si>
  <si>
    <t>ENUM</t>
  </si>
  <si>
    <t>INT</t>
  </si>
  <si>
    <t>DECIMAL</t>
  </si>
  <si>
    <t>5, 2</t>
  </si>
  <si>
    <t>ME01-251012</t>
  </si>
  <si>
    <t>OB</t>
  </si>
  <si>
    <t>LENGTH</t>
  </si>
  <si>
    <t>LENGHT2</t>
  </si>
  <si>
    <t>LAPTOP','PC DESKTOP'</t>
  </si>
  <si>
    <t>GOOD','BAD'</t>
  </si>
  <si>
    <t>GREAT','NORMAL','CAUTION','POOR'</t>
  </si>
  <si>
    <t>KEEP','UPGRADE','SERVICE','DISPOSE'</t>
  </si>
  <si>
    <t>PERSONAL','OPERATIONAL','SYSTEM','TESTING'</t>
  </si>
  <si>
    <t>PIC','LOAN'</t>
  </si>
  <si>
    <t>CONNECTIONS</t>
  </si>
  <si>
    <t>FUNCTIONS</t>
  </si>
  <si>
    <t>CONDITIONS</t>
  </si>
  <si>
    <t>PR/ASR/1024/014</t>
  </si>
  <si>
    <t>PR/ASR/1024/002</t>
  </si>
  <si>
    <t>DDR4, SO-DIMM, 2400 / 2667 Mhz</t>
  </si>
  <si>
    <t>SSD M.2/KYO Kaizen</t>
  </si>
  <si>
    <t>HDD SATA 2.5"/Toshiba MQ01ABD100</t>
  </si>
  <si>
    <t>00330-71290-00002-AAOEM</t>
  </si>
  <si>
    <t>NB.0180</t>
  </si>
  <si>
    <t>O99-ITD-NB002</t>
  </si>
  <si>
    <t>C63RQT2</t>
  </si>
  <si>
    <t>MOEQPLPT1020006</t>
  </si>
  <si>
    <t>Latitude 3400</t>
  </si>
  <si>
    <t>i5-8265U</t>
  </si>
  <si>
    <t>CAUTION</t>
  </si>
  <si>
    <t>BH &lt; 20%</t>
  </si>
  <si>
    <t>DISPOSE</t>
  </si>
  <si>
    <t>Repair [Battery]. Optional [Upgrade ; SSD 512 GB, RAM 16 GB]</t>
  </si>
  <si>
    <t>WAREHOUSE</t>
  </si>
  <si>
    <t>IN STORE</t>
  </si>
  <si>
    <t>PR/XXX/0000/000</t>
  </si>
  <si>
    <t>POP/XXX/0000/000</t>
  </si>
  <si>
    <t>2000-01-01</t>
  </si>
  <si>
    <t>MASHQEQP2000001</t>
  </si>
  <si>
    <t>MASHQEQP2000002</t>
  </si>
  <si>
    <t>NB.0178</t>
  </si>
  <si>
    <t>O99-ITD-NB003</t>
  </si>
  <si>
    <t>1C22QN3</t>
  </si>
  <si>
    <t>DI8MASEQP2200010</t>
  </si>
  <si>
    <t>Latitude 5420</t>
  </si>
  <si>
    <t>i7-1185G7</t>
  </si>
  <si>
    <t>00330-50000-00000-AAOEM</t>
  </si>
  <si>
    <t>SSD M.2 Nvme/SK Hynix BC711</t>
  </si>
  <si>
    <t>SSD M.2 SATA/TEAM TM8PS7256G</t>
  </si>
  <si>
    <t>DDR4, SO-DIMM, 2667 Mhz</t>
  </si>
  <si>
    <t>00330-52338-50146-AAOEM</t>
  </si>
  <si>
    <t>A[3/3]</t>
  </si>
  <si>
    <t>RTL</t>
  </si>
  <si>
    <t>NB.0335</t>
  </si>
  <si>
    <t>M02-ITD-NB004</t>
  </si>
  <si>
    <t>1B2RQT2</t>
  </si>
  <si>
    <t>MOEQPLPT1020005</t>
  </si>
  <si>
    <t>MB ERROR = ShutDown Often</t>
  </si>
  <si>
    <t>Ex Hardi Wasisto</t>
  </si>
  <si>
    <t>00330-52338-74258-AAOEM</t>
  </si>
  <si>
    <t>23H2</t>
  </si>
  <si>
    <t>SSD M.2 SATA/SK Hynix SC311</t>
  </si>
  <si>
    <t>ID_WH</t>
  </si>
  <si>
    <t>WH_SITE</t>
  </si>
  <si>
    <t>STATUS_AVAILABLE</t>
  </si>
  <si>
    <t>001</t>
  </si>
  <si>
    <t>002</t>
  </si>
  <si>
    <t>003</t>
  </si>
  <si>
    <t>004</t>
  </si>
  <si>
    <t>NB.001</t>
  </si>
  <si>
    <t>EXPIRED</t>
  </si>
  <si>
    <t>NB.002</t>
  </si>
  <si>
    <t>NB.003</t>
  </si>
  <si>
    <t>NB.004</t>
  </si>
  <si>
    <t>BJK</t>
  </si>
  <si>
    <t>PPP</t>
  </si>
  <si>
    <t xml:space="preserve">PT. </t>
  </si>
  <si>
    <t>PT. Makmur Jaya Serasi</t>
  </si>
  <si>
    <t>Entity / Table :</t>
  </si>
  <si>
    <t>employees</t>
  </si>
  <si>
    <t>ATTRIBUTE</t>
  </si>
  <si>
    <t>TIPE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</si>
</sst>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sz val="10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Sitka Display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4" fillId="2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43" fontId="4" fillId="2" borderId="0" xfId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4" fillId="4" borderId="0" xfId="0" applyNumberFormat="1" applyFont="1" applyFill="1" applyAlignment="1">
      <alignment horizontal="left" vertical="center"/>
    </xf>
    <xf numFmtId="43" fontId="4" fillId="4" borderId="0" xfId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10" fontId="11" fillId="0" borderId="1" xfId="2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0" fontId="11" fillId="0" borderId="8" xfId="2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205"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>
          <fgColor indexed="64"/>
          <bgColor rgb="FFFFFF0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563925</xdr:colOff>
      <xdr:row>3</xdr:row>
      <xdr:rowOff>187025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953B7-3B16-4666-9CCA-94E5B4A0C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0500"/>
          <a:ext cx="563925" cy="5680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96FB5-B361-4346-921E-8D1F24D188BC}" name="LEVEL" displayName="LEVEL" ref="B4:E47" totalsRowShown="0" headerRowDxfId="204" dataDxfId="203">
  <autoFilter ref="B4:E47" xr:uid="{D3D96FB5-B361-4346-921E-8D1F24D188BC}"/>
  <tableColumns count="4">
    <tableColumn id="1" xr3:uid="{12C34D01-3EFE-4F9A-A58F-F17B5EE1731F}" name="ID.LEVEL" dataDxfId="202"/>
    <tableColumn id="2" xr3:uid="{0BA60ABC-C528-4AEC-A6A4-618E1449BF73}" name="LEVEL" dataDxfId="201"/>
    <tableColumn id="3" xr3:uid="{54E21F98-CF90-4EEC-8E8D-34E9083B083D}" name="NOTE" dataDxfId="200"/>
    <tableColumn id="4" xr3:uid="{69E6AFEE-640D-407C-AE8E-BA9A81DCFDA9}" name="QUERY" dataDxfId="199">
      <calculatedColumnFormula>"('"&amp;LEVEL[[#This Row],[ID.LEVEL]]&amp;"','"&amp;LEVEL[[#This Row],[LEVEL]]&amp;"','"&amp;LEVEL[[#This Row],[NOTE]]&amp;"'),"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72C00B-364C-4E5C-8B53-1EABE8C0419D}" name="DIRECTORATE" displayName="DIRECTORATE" ref="B4:E23" totalsRowShown="0" headerRowDxfId="198" dataDxfId="197">
  <autoFilter ref="B4:E23" xr:uid="{D3D96FB5-B361-4346-921E-8D1F24D188BC}"/>
  <tableColumns count="4">
    <tableColumn id="1" xr3:uid="{B328E269-85B2-466B-A238-B9F81160D15C}" name="ID_DIR" dataDxfId="196"/>
    <tableColumn id="2" xr3:uid="{BEB5B35C-C5D5-448F-83A5-5CC48006C045}" name="DIRECTORATE" dataDxfId="195"/>
    <tableColumn id="3" xr3:uid="{84F868C0-C4DB-4388-942F-7B449037C50C}" name="NOTE" dataDxfId="194"/>
    <tableColumn id="4" xr3:uid="{7A1F15FE-550A-47B0-911F-11980A2C73C4}" name="QUERY" dataDxfId="193">
      <calculatedColumnFormula>"('"&amp;DIRECTORATE[[#This Row],[ID_DIR]]&amp;"','"&amp;
DIRECTORATE[[#This Row],[DIRECTORATE]]&amp;"','"&amp;
DIRECTORATE[[#This Row],[NOTE]]&amp;"'),"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F799F9-A6E0-4916-977B-9199B3D5A072}" name="DIVISION" displayName="DIVISION" ref="B4:E16" totalsRowShown="0" headerRowDxfId="192" dataDxfId="191">
  <autoFilter ref="B4:E16" xr:uid="{D3D96FB5-B361-4346-921E-8D1F24D188BC}"/>
  <tableColumns count="4">
    <tableColumn id="1" xr3:uid="{34AB4340-ED36-438E-A749-249F6C1FF670}" name="ID_DIV" dataDxfId="190"/>
    <tableColumn id="2" xr3:uid="{257265AA-66F3-40D8-9C75-630E6AD81605}" name="DIVISION" dataDxfId="189"/>
    <tableColumn id="3" xr3:uid="{F2ED4A8F-FC1E-4F0C-B91A-A520F287502B}" name="NOTE" dataDxfId="188"/>
    <tableColumn id="4" xr3:uid="{9C12AC42-AD78-4752-9557-38A26B1D8EB8}" name="QUERY" dataDxfId="187">
      <calculatedColumnFormula>"('"&amp;DIVISION[[#This Row],[ID_DIV]]&amp;"','"&amp;DIVISION[[#This Row],[DIVISION]]&amp;"','"&amp;DIVISION[[#This Row],[NOTE]]&amp;"'),"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C0D700-E368-4A54-BAC9-35647DBB3DF1}" name="DIVISION5" displayName="DIVISION5" ref="B4:E24" totalsRowShown="0" headerRowDxfId="186" dataDxfId="185">
  <autoFilter ref="B4:E24" xr:uid="{D3D96FB5-B361-4346-921E-8D1F24D188BC}"/>
  <tableColumns count="4">
    <tableColumn id="1" xr3:uid="{CB8A7843-8C97-4C1C-A099-6724ACBE78BA}" name="ID_DPT1" dataDxfId="184"/>
    <tableColumn id="2" xr3:uid="{C321CC6B-7826-4E1E-AB85-98EA6290CB10}" name="DEPARTEMENT" dataDxfId="183"/>
    <tableColumn id="3" xr3:uid="{4BA2E7FB-202C-45FB-AB4C-ED0EC8727F2F}" name="NOTE" dataDxfId="182"/>
    <tableColumn id="4" xr3:uid="{5B0548B5-CE22-4753-889D-B8DFBEAFC49F}" name="QUERY" dataDxfId="181">
      <calculatedColumnFormula>"('"&amp;DIVISION5[[#This Row],[ID_DPT1]]&amp;"','"&amp;DIVISION5[[#This Row],[DEPARTEMENT]]&amp;"','"&amp;DIVISION5[[#This Row],[NOTE]]&amp;"'),"</calculatedColumnFormula>
    </tableColumn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F73047-D10A-45CA-82D5-DDE281994F98}" name="DIVISION56" displayName="DIVISION56" ref="B4:I59" totalsRowShown="0" headerRowDxfId="180" dataDxfId="179">
  <autoFilter ref="B4:I59" xr:uid="{D3D96FB5-B361-4346-921E-8D1F24D188BC}"/>
  <tableColumns count="8">
    <tableColumn id="1" xr3:uid="{7E95CC08-C4D9-47F7-9C50-691DED43F082}" name="ID.LEVEL" dataDxfId="178"/>
    <tableColumn id="2" xr3:uid="{9AA2FA8F-EE4B-4594-A712-43CBC9363C92}" name="SUB-DEPARTEMENT" dataDxfId="177"/>
    <tableColumn id="3" xr3:uid="{CD722BFC-780A-4E8D-928C-6238A8A1E369}" name="DEPARTEMENT" dataDxfId="176"/>
    <tableColumn id="4" xr3:uid="{B7980620-2184-41FB-B48C-8D99DBAA821E}" name="DIVISION" dataDxfId="175"/>
    <tableColumn id="5" xr3:uid="{1C54DBA0-C092-4963-BBEF-F0A8B55967CD}" name="DIRECTORATE" dataDxfId="174"/>
    <tableColumn id="6" xr3:uid="{84AE73BA-3B1B-4233-B94E-814819FD851D}" name="DIRECTORATE ACTUALS" dataDxfId="173"/>
    <tableColumn id="8" xr3:uid="{A54B205E-B27D-4F1B-9C5D-CFD0D7C33ABE}" name="NOTE" dataDxfId="172">
      <calculatedColumnFormula>"SUB Low Level of Structure :"&amp;"/"&amp;DIVISION56[[#This Row],[DIRECTORATE ACTUALS]]&amp;"/"&amp;DIVISION56[[#This Row],[DIVISION]]&amp;"/"&amp;DIVISION56[[#This Row],[DEPARTEMENT]]&amp;"/"&amp;DIVISION56[[#This Row],[SUB-DEPARTEMENT]]</calculatedColumnFormula>
    </tableColumn>
    <tableColumn id="7" xr3:uid="{98016869-0FAC-43EE-8D96-0F417677ED44}" name="QUERY" dataDxfId="171">
      <calculatedColumnFormula>"('"&amp;DIVISION56[[#This Row],[ID.LEVEL]]&amp;"','"&amp;DIVISION56[[#This Row],[SUB-DEPARTEMENT]]&amp;"','"&amp;DIVISION56[[#This Row],[NOTE]]&amp;"'),"</calculatedColumnFormula>
    </tableColumn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A8941E-E5A1-4096-993F-D8715A2C3A67}" name="DIVISION7" displayName="DIVISION7" ref="B4:D16" totalsRowShown="0" headerRowDxfId="170" dataDxfId="169">
  <autoFilter ref="B4:D16" xr:uid="{D3D96FB5-B361-4346-921E-8D1F24D188BC}"/>
  <tableColumns count="3">
    <tableColumn id="1" xr3:uid="{AA1884D4-78EE-4866-877B-30305F82989E}" name="ID.LEVEL" dataDxfId="168"/>
    <tableColumn id="2" xr3:uid="{9E227A5F-988C-4D5F-86E2-3C5713E35986}" name="DIVISION" dataDxfId="167"/>
    <tableColumn id="3" xr3:uid="{A03E1D23-E40E-42AA-A510-CA71F9C5AA57}" name="NOTE" dataDxfId="166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6E5B4D-5AC4-4D88-82A9-24F0426A816E}" name="DIVISION78" displayName="DIVISION78" ref="B4:D16" totalsRowShown="0" headerRowDxfId="165" dataDxfId="164">
  <autoFilter ref="B4:D16" xr:uid="{D3D96FB5-B361-4346-921E-8D1F24D188BC}"/>
  <tableColumns count="3">
    <tableColumn id="1" xr3:uid="{ACB8A772-2B86-458C-A42E-AE1D3935EA89}" name="ID.LEVEL" dataDxfId="163"/>
    <tableColumn id="2" xr3:uid="{94E63E15-3EBC-4BD4-BE65-A6599CCDBDF3}" name="DIVISION" dataDxfId="162"/>
    <tableColumn id="3" xr3:uid="{A3581B8E-D5ED-4E93-9E87-FB6BDD6279E1}" name="NOTE" dataDxfId="161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52DAF6-78CF-4875-B3AC-E22C2A7633BA}" name="LEVEL10" displayName="LEVEL10" ref="B4:J22" totalsRowShown="0" headerRowDxfId="160" dataDxfId="159">
  <autoFilter ref="B4:J22" xr:uid="{D3D96FB5-B361-4346-921E-8D1F24D188BC}"/>
  <tableColumns count="9">
    <tableColumn id="1" xr3:uid="{C13C9774-4074-486A-9F5E-078B81D4A027}" name="EMIAIL" dataDxfId="158"/>
    <tableColumn id="3" xr3:uid="{7BA90D09-793F-40BF-A5AE-93F47B9DDB91}" name="PIC_NIP" dataDxfId="157"/>
    <tableColumn id="2" xr3:uid="{85D94A5F-506D-4C33-9D92-0D0CF4C94438}" name="DOMAIN" dataDxfId="156">
      <calculatedColumnFormula>_xlfn.IFNA(_xlfn.TEXTAFTER(LEVEL10[[#This Row],[EMIAIL]],"@"),"NULL")</calculatedColumnFormula>
    </tableColumn>
    <tableColumn id="5" xr3:uid="{E84ED1C5-D5DB-47A6-B78B-BC7716F70D9E}" name="FUNC" dataDxfId="155"/>
    <tableColumn id="6" xr3:uid="{94FF84EE-26F8-4B49-9966-9417C900AC1D}" name="TYPE" dataDxfId="154"/>
    <tableColumn id="7" xr3:uid="{48346016-48CF-4505-83F9-CE489092F3AF}" name="LICENSE_TYPE" dataDxfId="153"/>
    <tableColumn id="9" xr3:uid="{190C4297-2500-49A9-9154-F598305DEE2E}" name="MFA" dataDxfId="152"/>
    <tableColumn id="8" xr3:uid="{97F8A64B-8E22-414A-BF76-BD93D91FF419}" name="COL" dataDxfId="151">
      <calculatedColumnFormula>LEVEL10[[#This Row],[EMIAIL]]</calculatedColumnFormula>
    </tableColumn>
    <tableColumn id="4" xr3:uid="{5D21A4F7-A3E2-4278-A98D-C6870BF8B484}" name="QUERY" dataDxfId="150">
      <calculatedColumnFormula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calculatedColumnFormula>
    </tableColumn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A7D3EC-1C52-49DF-86F5-F176A8F38476}" name="LEVEL1011" displayName="LEVEL1011" ref="B4:N21" totalsRowShown="0" headerRowDxfId="149" dataDxfId="148">
  <autoFilter ref="B4:N21" xr:uid="{D3D96FB5-B361-4346-921E-8D1F24D188BC}"/>
  <tableColumns count="13">
    <tableColumn id="1" xr3:uid="{E7BFE048-7C43-4025-969F-68DDD435421D}" name="MAIL" dataDxfId="147"/>
    <tableColumn id="17" xr3:uid="{024B9AB1-4A49-4CA9-8A09-65C782D37C88}" name="PSWD" dataDxfId="146"/>
    <tableColumn id="2" xr3:uid="{1EF0F211-022F-47E0-A4FD-F7AB7FDF7E47}" name="PASSWORD" dataDxfId="145"/>
    <tableColumn id="3" xr3:uid="{92F610F6-57DB-45B9-BB31-582B25FA26C5}" name="PIC_NIP" dataDxfId="144"/>
    <tableColumn id="10" xr3:uid="{257F5D51-8CF5-49A7-8486-3293BBCB442F}" name="WST_ACCESS" dataDxfId="143"/>
    <tableColumn id="11" xr3:uid="{0F4BDD7C-1420-4671-A508-F7A3349E0F8E}" name="NET_ACCESS" dataDxfId="142"/>
    <tableColumn id="12" xr3:uid="{EA4DC683-BAB0-4A29-9ED2-5736DFA8D073}" name="SVR_ACCESS" dataDxfId="141"/>
    <tableColumn id="5" xr3:uid="{625D481E-4142-411E-AD56-959F8D72923D}" name="CREATE_DATE" dataDxfId="140"/>
    <tableColumn id="18" xr3:uid="{F25929B3-0D5D-4546-BAAD-768431FF6E2A}" name="CD" dataDxfId="139"/>
    <tableColumn id="6" xr3:uid="{403B0525-1E1E-4B66-AAD1-F217E3DDC712}" name="MODIFIED_DATE" dataDxfId="138"/>
    <tableColumn id="19" xr3:uid="{D8B4D201-1FFC-4763-AD4C-BA695B4E10E0}" name="MD" dataDxfId="137"/>
    <tableColumn id="8" xr3:uid="{E72AB380-C737-4B05-980E-14C0CF362252}" name="COL" dataDxfId="136"/>
    <tableColumn id="4" xr3:uid="{5A878EA2-581F-48E7-9D2D-8715FBDE55C1}" name="QUERY" dataDxfId="135">
      <calculatedColumnFormula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calculatedColumnFormula>
    </tableColumn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B04657-E09D-470F-8B86-5F3BCFDF83C5}" name="Table12" displayName="Table12" ref="B4:BC19" totalsRowShown="0" headerRowDxfId="134" dataDxfId="132" headerRowBorderDxfId="133" tableBorderDxfId="131" totalsRowBorderDxfId="130">
  <autoFilter ref="B4:BC19" xr:uid="{36B04657-E09D-470F-8B86-5F3BCFDF83C5}"/>
  <tableColumns count="54">
    <tableColumn id="1" xr3:uid="{6686DDCA-B94E-43B2-A50B-DEE33ADDD2F3}" name="ID_ASSET" dataDxfId="129"/>
    <tableColumn id="2" xr3:uid="{BFA0D8E8-60A1-466D-8DE5-73C2D164621E}" name="HOSTNAME" dataDxfId="128"/>
    <tableColumn id="3" xr3:uid="{585AE69C-6106-4617-AA08-C0BDA09C3472}" name="SN" dataDxfId="127"/>
    <tableColumn id="4" xr3:uid="{B2DE0D78-230E-4267-804D-66836DF0731B}" name="BARCODE" dataDxfId="126"/>
    <tableColumn id="5" xr3:uid="{BC342BD9-DF49-4AF7-8D1B-C7FDD668BE68}" name="CATEGORY" dataDxfId="125">
      <calculatedColumnFormula>_xlfn.IFS(LEFT(Table12[[#This Row],[ID_ASSET]],2)="DT","PC DESKTOP",LEFT(Table12[[#This Row],[ID_ASSET]],2)="NB","LAPTOP")</calculatedColumnFormula>
    </tableColumn>
    <tableColumn id="6" xr3:uid="{2ECFBC9B-EDD5-47EE-A257-7B672E52B4A2}" name="BRAND" dataDxfId="124"/>
    <tableColumn id="7" xr3:uid="{C6E862CB-C81D-4EB1-8BEE-BFC3DD2F2DA0}" name="TYPE" dataDxfId="123"/>
    <tableColumn id="8" xr3:uid="{786E1A42-4276-499B-A674-155950C65A60}" name="PROCESSORS" dataDxfId="122"/>
    <tableColumn id="9" xr3:uid="{762BD65B-F927-4F05-A910-946AFD586FA3}" name="GEN" dataDxfId="121"/>
    <tableColumn id="10" xr3:uid="{B2240D18-21A8-48CE-B0E5-5B2C8B075F64}" name="RAM_CAP" dataDxfId="120"/>
    <tableColumn id="11" xr3:uid="{849E9B83-B08B-4C98-977F-CB2D339ED914}" name="RAM_SLOT" dataDxfId="119"/>
    <tableColumn id="12" xr3:uid="{DB2DD869-39CE-4350-BAD2-FCDDC7F2696A}" name="RAM_TYPE" dataDxfId="118"/>
    <tableColumn id="13" xr3:uid="{A8D4BEEF-4146-4468-A4C4-5733C23D973C}" name="DISK1_CAP" dataDxfId="117"/>
    <tableColumn id="14" xr3:uid="{8345EC2D-01B1-435F-A4DF-25E7B94F9D1E}" name="DISK1_TYPE" dataDxfId="116"/>
    <tableColumn id="15" xr3:uid="{50BA7DDF-AA50-4621-B017-6FD64007F158}" name="DISK2_CAP" dataDxfId="115"/>
    <tableColumn id="16" xr3:uid="{811A30E5-AD37-445F-911D-F46BFFE0D935}" name="DISK2_TYPE" dataDxfId="114"/>
    <tableColumn id="20" xr3:uid="{11A57D74-7EA9-4EC3-A268-66147CAED3E2}" name="OS" dataDxfId="113"/>
    <tableColumn id="17" xr3:uid="{F2D9266C-AD81-48F3-9556-3D89CE03634F}" name="OS_TYPE" dataDxfId="112"/>
    <tableColumn id="21" xr3:uid="{9C75B5A7-3663-46E3-8C94-FAC103E26DE1}" name="OS_VER" dataDxfId="111"/>
    <tableColumn id="18" xr3:uid="{1105E996-7DE3-499D-A176-EA4742751FB5}" name="PRODUCT_ID" dataDxfId="110"/>
    <tableColumn id="19" xr3:uid="{4353A5D3-6661-419F-80B0-4EBA50A57747}" name="PRODUCT_KEY" dataDxfId="109"/>
    <tableColumn id="22" xr3:uid="{042F33B3-A00A-40DC-82A5-244811EE2D5D}" name="BH" dataDxfId="108" dataCellStyle="Percent">
      <calculatedColumnFormula>IFERROR(IF(Table12[[#This Row],[CATEGORY]]="PC DESKTOP","NA",(Table12[[#This Row],[FCC]]/Table12[[#This Row],[DC]])),"")</calculatedColumnFormula>
    </tableColumn>
    <tableColumn id="23" xr3:uid="{17476B42-EAF2-4DFC-B73D-A1722F322755}" name="DC" dataDxfId="107"/>
    <tableColumn id="24" xr3:uid="{41308448-EF25-4028-ACDA-320C211C1086}" name="FCC" dataDxfId="106"/>
    <tableColumn id="25" xr3:uid="{00582AE1-355C-49FE-A2DA-F9E8C1D0B950}" name="CASING" dataDxfId="105"/>
    <tableColumn id="26" xr3:uid="{79C05D45-6525-4E80-8DCE-0483D331DDF5}" name="DISPLAY" dataDxfId="104"/>
    <tableColumn id="37" xr3:uid="{89FB34DF-21BE-4368-BDEA-7884C602262B}" name="PORT_DISPLAY" dataDxfId="103"/>
    <tableColumn id="27" xr3:uid="{A64D4829-8428-457C-8944-9BDC0A1FB522}" name="KEYBOARD" dataDxfId="102"/>
    <tableColumn id="28" xr3:uid="{AAF517DA-37F6-40D1-B265-A1256D4741BF}" name="TOUCHPAD" dataDxfId="101"/>
    <tableColumn id="29" xr3:uid="{BC50647C-C812-4BE2-A897-95ED975C845A}" name="PORT_USB" dataDxfId="100"/>
    <tableColumn id="30" xr3:uid="{AA757140-3CDA-4AB7-A475-AE46A90351C3}" name="PORT_JECK" dataDxfId="99"/>
    <tableColumn id="31" xr3:uid="{610AFA45-5630-4E3D-8FA3-23B1871EC9B8}" name="PORT_PSU" dataDxfId="98"/>
    <tableColumn id="32" xr3:uid="{28328974-4E1F-4CDC-ADD1-CCFACC0C1324}" name="FAN" dataDxfId="97"/>
    <tableColumn id="33" xr3:uid="{891BC50C-B555-47CE-89A4-3CB4B573F876}" name="WEBCAM" dataDxfId="96"/>
    <tableColumn id="34" xr3:uid="{00EF9998-CB94-4C54-9BB3-32849BFB5A30}" name="MICROFON" dataDxfId="95"/>
    <tableColumn id="35" xr3:uid="{70386A1D-F13D-4699-AF91-2E20AF59D659}" name="SPEAKER" dataDxfId="94"/>
    <tableColumn id="36" xr3:uid="{8FB8B903-1FA2-4CDC-8A9E-0A4885B10DF1}" name="CONNECTION" dataDxfId="93"/>
    <tableColumn id="38" xr3:uid="{B4A902A2-E185-4FF9-8C6F-941FE712D137}" name="CONDITIONS" dataDxfId="92">
      <calculatedColumnFormula>IF(OR(Table12[[#This Row],[SUB_CON]]="CAUTION",Table12[[#This Row],[SUB_CON]]="POOR"),"BAD","GOOD")</calculatedColumnFormula>
    </tableColumn>
    <tableColumn id="39" xr3:uid="{13FE1115-70B5-41DC-8700-183BC8ED4A6E}" name="SUB_CON" dataDxfId="91"/>
    <tableColumn id="40" xr3:uid="{CA48C02C-E3E7-4360-9D2A-11E68BCDADFC}" name="NOTE_CON" dataDxfId="90"/>
    <tableColumn id="41" xr3:uid="{36ECCE00-9BA8-408C-81C7-7FE7124C52A3}" name="SOLUTION" dataDxfId="89">
      <calculatedColumnFormula array="1">_xlfn.IFS(
Table12[[#This Row],[SUB_CON]]="GREAT","KEEP",
Table12[[#This Row],[SUB_CON]]="NORMAL","UPGRADE",
Table12[[#This Row],[SUB_CON]]="CAUTION","SERVICE",
Table12[[#This Row],[SUB_CON]]="POOR","DISPOSE")</calculatedColumnFormula>
    </tableColumn>
    <tableColumn id="42" xr3:uid="{367B3FE2-E09D-4B7E-8951-5BE39EE89BB3}" name="NOTE_SOL" dataDxfId="88"/>
    <tableColumn id="48" xr3:uid="{FAF2D1E1-6F10-4BF6-A3E1-3B9EBD5D2655}" name="STATUS_FUNC" dataDxfId="87"/>
    <tableColumn id="43" xr3:uid="{ABEEECC9-15DF-4BA8-8A42-867FA98869CB}" name="FUNCTIONS" dataDxfId="86"/>
    <tableColumn id="44" xr3:uid="{F47772E7-684B-4B29-8922-813F8C1CC6F8}" name="NOTE_FUNC" dataDxfId="85"/>
    <tableColumn id="45" xr3:uid="{A71D3081-5303-4CCF-910A-E3F7E548B32D}" name="HISTORY_PIC" dataDxfId="84"/>
    <tableColumn id="46" xr3:uid="{94284A05-0F92-4C16-A982-70648293161F}" name="LOCATION" dataDxfId="83"/>
    <tableColumn id="47" xr3:uid="{7ECF6357-22F8-44CF-973C-8A96AE09A65B}" name="NOTE_LOC" dataDxfId="82"/>
    <tableColumn id="55" xr3:uid="{780CDB1E-5E5B-4BA7-B4D5-3FA43D0B1C14}" name="STATUS" dataDxfId="81">
      <calculatedColumnFormula>IF(Table12[[#This Row],[PIC_NIP]]&lt;&gt;999999,"IN USE",IF(AND(Table12[[#This Row],[NOTE_LOC]]="WAREHOUSE",Table12[[#This Row],[PIC_NIP]]=999999),"IN STORE","IN-ACTIVE"))</calculatedColumnFormula>
    </tableColumn>
    <tableColumn id="49" xr3:uid="{054651EB-0BF5-422B-9A6B-9D12F926F4EE}" name="PIC_NIP" dataDxfId="80"/>
    <tableColumn id="50" xr3:uid="{D4970B17-B465-4C26-BCF1-F3B646E37600}" name="ID_MAINTENANCE" dataDxfId="79"/>
    <tableColumn id="51" xr3:uid="{32F09A98-8837-4783-ADB8-5AA672D1798A}" name="VAL-1" dataDxfId="78">
      <calculatedColumnFormula>IF(COUNTBLANK(Table12[[#This Row],[ID_ASSET]:[ID_MAINTENANCE]])&gt;0,"VALIDATE [IN PROGRESS]","VALIDATE [DONE]")</calculatedColumnFormula>
    </tableColumn>
    <tableColumn id="53" xr3:uid="{CDB42010-FA52-4143-AB2A-FF390FA7A9BB}" name="QUERY" dataDxfId="77">
      <calculatedColumnFormula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calculatedColumnFormula>
    </tableColumn>
    <tableColumn id="54" xr3:uid="{B57DDE1C-6F35-4373-8826-2178B2B334DA}" name="Column1" dataDxfId="76">
      <calculatedColumnFormula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AAD99F-779D-454B-A666-5C7299054384}" name="Table17" displayName="Table17" ref="B4:F54" totalsRowShown="0" dataDxfId="75">
  <autoFilter ref="B4:F54" xr:uid="{60AAD99F-779D-454B-A666-5C7299054384}"/>
  <tableColumns count="5">
    <tableColumn id="1" xr3:uid="{8E1C9ADD-50DB-468B-BC47-2015801E3955}" name="OB" dataDxfId="74"/>
    <tableColumn id="2" xr3:uid="{561FAF73-2F54-4B35-B69F-FF2F002CDF18}" name="TYPE" dataDxfId="73"/>
    <tableColumn id="3" xr3:uid="{FDCB6EEC-143D-4F41-BC27-52C4E7812993}" name="LENGTH" dataDxfId="72"/>
    <tableColumn id="4" xr3:uid="{AD8DC806-765E-495A-80F9-95D2A2BDE39F}" name="LENGHT2" dataDxfId="71">
      <calculatedColumnFormula>IF(Table17[[#This Row],[TYPE]]="ENUM",0,Table17[[#This Row],[LENGTH]])</calculatedColumnFormula>
    </tableColumn>
    <tableColumn id="5" xr3:uid="{7311C28F-B0D2-4F73-A706-A602FAEE2A9F}" name="QUERY" dataDxfId="70">
      <calculatedColumnFormula>Table17[[#This Row],[OB]]&amp;" "&amp;Table17[[#This Row],[TYPE]]&amp;"("&amp;IF(Table17[[#This Row],[TYPE]]="ENUM",("'"&amp;Table17[[#This Row],[LENGTH]]),Table17[[#This Row],[LENGHT2]])&amp;"),"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1D9E3C7-5B08-4EF6-851F-81E73ADAADFC}" name="ME" displayName="ME" ref="B4:F8" totalsRowShown="0" headerRowDxfId="69" dataDxfId="68">
  <autoFilter ref="B4:F8" xr:uid="{21D9E3C7-5B08-4EF6-851F-81E73ADAADFC}"/>
  <tableColumns count="5">
    <tableColumn id="1" xr3:uid="{1316489C-607C-4109-9715-19057FA999EF}" name="ID_MAINTENANCE" dataDxfId="67"/>
    <tableColumn id="17" xr3:uid="{74B3AC17-B963-4A7C-AD47-91EBD96AA97F}" name="MAINTENANCE" dataDxfId="66"/>
    <tableColumn id="2" xr3:uid="{A64474E4-7185-40EA-8D24-A20A359C01B7}" name="TIME_DESC" dataDxfId="65"/>
    <tableColumn id="21" xr3:uid="{D3072A10-0CFB-467E-8D4A-C921B443FFCA}" name="CHARACTERISTIC" dataDxfId="64"/>
    <tableColumn id="4" xr3:uid="{390B7DA1-96E3-416D-8A92-B05D690025C6}" name="QUERY" dataDxfId="63">
      <calculatedColumnFormula>"('"&amp;ME[[#This Row],[ID_MAINTENANCE]]&amp;"','"&amp;ME[[#This Row],[MAINTENANCE]]&amp;"','"&amp;
ME[[#This Row],[TIME_DESC]]&amp;"','"&amp;ME[[#This Row],[CHARACTERISTIC]]&amp;"'),"</calculatedColumnFormula>
    </tableColumn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E151E66-307D-4FCA-8FA1-2721A1D3233A}" name="TASK" displayName="TASK" ref="B4:G8" totalsRowShown="0" headerRowDxfId="62" dataDxfId="61">
  <autoFilter ref="B4:G8" xr:uid="{DE151E66-307D-4FCA-8FA1-2721A1D3233A}"/>
  <tableColumns count="6">
    <tableColumn id="1" xr3:uid="{6DBBFE03-86A2-4263-9824-AA930E756F3C}" name="ID_TASK" dataDxfId="60">
      <calculatedColumnFormula>TASK[[#This Row],[ID_MAINTENANCE2]]&amp;TEXT(TASK[[#This Row],[SCHEDULE_TASK]],"YYMMDD")</calculatedColumnFormula>
    </tableColumn>
    <tableColumn id="17" xr3:uid="{FFDB965B-9950-4DC6-91C3-1DFC1C857194}" name="ID_MAINTENANCE2" dataDxfId="59"/>
    <tableColumn id="23" xr3:uid="{A18F9BD8-9EAD-4E52-8EC6-D2A736C51482}" name="MAINTENANCE" dataDxfId="58">
      <calculatedColumnFormula>_xlfn.IFNA(VLOOKUP(TASK[[#This Row],[ID_MAINTENANCE2]],ME[[ID_MAINTENANCE]:[CHARACTERISTIC]],2,0),"NA")</calculatedColumnFormula>
    </tableColumn>
    <tableColumn id="2" xr3:uid="{DEA9A8E6-CB0E-418A-A994-E808146FE47E}" name="SCHEDULE_TASK" dataDxfId="57"/>
    <tableColumn id="22" xr3:uid="{4FCBACC4-B4D0-483E-B324-9718729C9BAA}" name="SCH_CONV" dataDxfId="56">
      <calculatedColumnFormula>TEXT(TASK[[#This Row],[SCHEDULE_TASK]],"YYYY-MM-DD")</calculatedColumnFormula>
    </tableColumn>
    <tableColumn id="4" xr3:uid="{12FF4340-3D00-43B7-9102-AD99E2D85396}" name="QUERY" dataDxfId="55">
      <calculatedColumnFormula>"('"&amp;TASK[[#This Row],[ID_TASK]]&amp;"','"&amp;TASK[[#This Row],[ID_MAINTENANCE2]]&amp;"','"&amp;TASK[[#This Row],[SCH_CONV]]&amp;"'),"</calculatedColumnFormula>
    </tableColumn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E2DD66C-AD86-4CD9-8B76-CF04ABE802C7}" name="TASK19" displayName="TASK19" ref="B4:H8" totalsRowShown="0" headerRowDxfId="54" dataDxfId="53">
  <autoFilter ref="B4:H8" xr:uid="{DE151E66-307D-4FCA-8FA1-2721A1D3233A}"/>
  <tableColumns count="7">
    <tableColumn id="1" xr3:uid="{67815836-8F95-4ACF-9518-2E224023EDBF}" name="ID_WH" dataDxfId="52">
      <calculatedColumnFormula>"WH-"&amp;TASK19[[#This Row],[WH_SITE]]&amp;"-"&amp;TASK19[[#This Row],[NO]]</calculatedColumnFormula>
    </tableColumn>
    <tableColumn id="24" xr3:uid="{05BDE0D7-AABA-4870-A6C6-E8D3AA01A953}" name="NO" dataDxfId="51"/>
    <tableColumn id="17" xr3:uid="{911C163B-4AF1-4C0F-A7B3-5FACB38A7DA3}" name="ID_ASSET" dataDxfId="50"/>
    <tableColumn id="23" xr3:uid="{42F6C514-F81C-4ECD-BF7C-4A2B6822AD17}" name="WH_SITE" dataDxfId="49"/>
    <tableColumn id="2" xr3:uid="{4CD19B37-A848-4D1D-879F-A1D6F7B48370}" name="STATUS" dataDxfId="48"/>
    <tableColumn id="22" xr3:uid="{656A4D04-AE75-4DEC-BACC-0EC299A3E48F}" name="STATUS_AVAILABLE" dataDxfId="47">
      <calculatedColumnFormula>IF(OR(TASK19[[#This Row],[STATUS]]="IN STORE",TASK19[[#This Row],[STATUS]]="IN REPAIR"),1,0)</calculatedColumnFormula>
    </tableColumn>
    <tableColumn id="4" xr3:uid="{876CC4BA-A441-4FB6-9B10-055944E95472}" name="QUERY" dataDxfId="46">
      <calculatedColumnFormula>"('"&amp;TASK19[[#This Row],[ID_WH]]&amp;"','"&amp;TASK19[[#This Row],[ID_ASSET]]&amp;"','"&amp;TASK19[[#This Row],[WH_SITE]]&amp;"','"&amp;TASK19[[#This Row],[STATUS]]&amp;"','"&amp;TASK19[[#This Row],[STATUS_AVAILABLE]]&amp;"'),"</calculatedColumnFormula>
    </tableColumn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5247BF-3B6E-43C4-8A8A-AC2D3FECBBBB}" name="LEVEL101114" displayName="LEVEL101114" ref="B4:T17" totalsRowShown="0" headerRowDxfId="45" dataDxfId="44">
  <autoFilter ref="B4:T17" xr:uid="{1A5247BF-3B6E-43C4-8A8A-AC2D3FECBBBB}"/>
  <tableColumns count="19">
    <tableColumn id="1" xr3:uid="{636C0CB9-BC33-4658-8EC6-7DB498991704}" name="BARCODE" dataDxfId="43"/>
    <tableColumn id="27" xr3:uid="{A7F299F6-FF3B-4D90-BFA4-B045315E3BC8}" name="CODE_ITEM" dataDxfId="42"/>
    <tableColumn id="25" xr3:uid="{9A58CBAC-D78D-4D22-A548-F6EF822171B9}" name="OWNER_CODE" dataDxfId="41"/>
    <tableColumn id="20" xr3:uid="{23D266A1-B9AB-4F68-8AC7-1A038C282C4C}" name="ID_SITE" dataDxfId="40"/>
    <tableColumn id="17" xr3:uid="{3D7471EE-CCCD-4F4A-9950-D44864ED4AA3}" name="NO_PR" dataDxfId="39"/>
    <tableColumn id="2" xr3:uid="{369D7CC9-D049-4B97-896D-19500AE4A74A}" name="NO_PO" dataDxfId="38"/>
    <tableColumn id="3" xr3:uid="{8AD1AC53-0A1F-4EF7-8E3F-02A7C3D2CEDD}" name="DATE_PR" dataDxfId="37"/>
    <tableColumn id="21" xr3:uid="{DFB14DC9-921A-4974-9CCD-2903CA9465ED}" name="CONVDPR" dataDxfId="36">
      <calculatedColumnFormula>IF(LEVEL101114[[#This Row],[DATE_PR]]&lt;&gt;"-",TEXT(LEVEL101114[[#This Row],[DATE_PR]],"YYYY-MM-DD"),"-")</calculatedColumnFormula>
    </tableColumn>
    <tableColumn id="10" xr3:uid="{FF00464D-8EBB-42F7-A665-2177F30D2192}" name="DATE_PO" dataDxfId="35"/>
    <tableColumn id="22" xr3:uid="{39717A8E-71A2-47AE-958D-8B5FB2C65D8E}" name="CONVPO" dataDxfId="34">
      <calculatedColumnFormula>IF(LEVEL101114[[#This Row],[DATE_PO]]&lt;&gt;"-",TEXT(LEVEL101114[[#This Row],[DATE_PO]],"YYYY-MM-DD"),"-")</calculatedColumnFormula>
    </tableColumn>
    <tableColumn id="23" xr3:uid="{221BF0CC-779F-44CB-8BA0-4DCEA6726D03}" name="DATE_SHIPPING" dataDxfId="33"/>
    <tableColumn id="24" xr3:uid="{9AC2B92F-B8EC-42BA-8D1C-06D559D7A400}" name="CONVSHP" dataDxfId="32">
      <calculatedColumnFormula>IF(LEVEL101114[[#This Row],[DATE_SHIPPING]]&lt;&gt;"-",TEXT(LEVEL101114[[#This Row],[DATE_SHIPPING]],"YYYY-MM-DD"),"-")</calculatedColumnFormula>
    </tableColumn>
    <tableColumn id="26" xr3:uid="{23A89B79-86ED-463A-8E5E-69BE9570083B}" name="RECIPIENT" dataDxfId="31"/>
    <tableColumn id="11" xr3:uid="{461CC160-C2B2-4984-BEE4-F0FE6EC2C1AE}" name="PRICE" dataDxfId="30" dataCellStyle="Comma"/>
    <tableColumn id="12" xr3:uid="{0279AB21-C082-4622-BAE0-748C2CD5B108}" name="QTY" dataDxfId="29"/>
    <tableColumn id="5" xr3:uid="{785E401E-4A08-4B26-AAF5-448A521F717C}" name="DATE_ACQUISITION" dataDxfId="28"/>
    <tableColumn id="19" xr3:uid="{6CBB6961-A360-400E-92E4-89D3CE1F1B95}" name="CONVACQ" dataDxfId="27">
      <calculatedColumnFormula>IF(LEVEL101114[[#This Row],[DATE_ACQUISITION]]&lt;&gt;"-",TEXT(LEVEL101114[[#This Row],[DATE_ACQUISITION]],"YYYY-MM-DD"),"-")</calculatedColumnFormula>
    </tableColumn>
    <tableColumn id="8" xr3:uid="{000A909D-9DDB-46D8-BDF2-714132EE36DD}" name="COLL-SUPPORT1" dataDxfId="26">
      <calculatedColumnFormula>IF(COUNTBLANK(LEVEL101114[[#This Row],[BARCODE]:[CONVACQ]])&gt;0,"VALIDATE [IN PROGRESS]","VALIDATE [DONE]")</calculatedColumnFormula>
    </tableColumn>
    <tableColumn id="4" xr3:uid="{3473876A-5FD7-430B-8572-EA21E5EEECE7}" name="QUERY" dataDxfId="25">
      <calculatedColumnFormula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calculatedColumnFormula>
    </tableColumn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DE198AD-F7CD-4D8B-8B06-149D91FCE15F}" name="LEVEL101115" displayName="LEVEL101115" ref="B4:E21" totalsRowShown="0" headerRowDxfId="24" dataDxfId="23">
  <autoFilter ref="B4:E21" xr:uid="{7DE198AD-F7CD-4D8B-8B06-149D91FCE15F}"/>
  <tableColumns count="4">
    <tableColumn id="1" xr3:uid="{4994FA2A-D414-4BB3-A38E-5B2ADF2C650B}" name="CODE_ITEM" dataDxfId="22"/>
    <tableColumn id="17" xr3:uid="{9834675F-893C-41FA-BFA5-4DFA70B3F077}" name="TYPE" dataDxfId="21"/>
    <tableColumn id="2" xr3:uid="{E3BBE047-150E-4BB8-BA4B-EEB0A1CF1A19}" name="CATEGORY" dataDxfId="20"/>
    <tableColumn id="4" xr3:uid="{EFA3DB8C-DDB0-4620-8D4B-626EEC2B6454}" name="QUERY" dataDxfId="19">
      <calculatedColumnFormula>"('"&amp;LEVEL101115[[#This Row],[CODE_ITEM]]&amp;"','"&amp;LEVEL101115[[#This Row],[TYPE]]&amp;"','"&amp;
LEVEL101115[[#This Row],[CATEGORY]]&amp;"'),"</calculatedColumnFormula>
    </tableColumn>
  </tableColumns>
  <tableStyleInfo name="TableStyleLight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6C8465-2344-4142-8765-D13F9576B0BC}" name="db_site" displayName="db_site" ref="B6:K27" totalsRowShown="0" headerRowDxfId="18" dataDxfId="16" headerRowBorderDxfId="17" tableBorderDxfId="15" totalsRowBorderDxfId="14">
  <autoFilter ref="B6:K27" xr:uid="{74766931-8F5A-4601-92A8-7A46B91277E6}"/>
  <tableColumns count="10">
    <tableColumn id="1" xr3:uid="{54E94D27-40A9-4B2C-A8D8-CA07B46F0D5D}" name="ID_SITE" dataDxfId="13"/>
    <tableColumn id="2" xr3:uid="{8F9F1B41-1920-4FC4-AE01-E6F3C2035E9C}" name="SITE" dataDxfId="12"/>
    <tableColumn id="3" xr3:uid="{0AED3334-4195-42EF-B2DF-340F661C7207}" name="BUSINESS_UNIT" dataDxfId="11"/>
    <tableColumn id="10" xr3:uid="{FFAFC337-32DE-470C-8CF2-F0BB5ECCDB73}" name="COMPANY" dataDxfId="10"/>
    <tableColumn id="4" xr3:uid="{979ABB10-4A5F-4BA2-A01E-6A0AF0817D3C}" name="Country" dataDxfId="9"/>
    <tableColumn id="5" xr3:uid="{B54EB208-D9DF-4B70-8A2C-A028AE80A4EF}" name="Provincy" dataDxfId="8"/>
    <tableColumn id="6" xr3:uid="{1C1770AA-4536-433A-A9AB-FF1579D1560D}" name="City" dataDxfId="7"/>
    <tableColumn id="7" xr3:uid="{DD3AA183-3B31-4BBA-9749-D46F83C24EE7}" name="Address" dataDxfId="6"/>
    <tableColumn id="8" xr3:uid="{575C6D37-0355-4C53-B13A-FCFD3772A1C8}" name="Url_maps" dataDxfId="5"/>
    <tableColumn id="9" xr3:uid="{D0357DE6-4697-4AD2-AAD3-47043335D299}" name="QUERY" dataDxfId="4">
      <calculatedColumnFormula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5:Q29"/>
  <sheetViews>
    <sheetView showGridLines="0" tabSelected="1" zoomScale="85" zoomScaleNormal="85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G11" sqref="G11"/>
    </sheetView>
  </sheetViews>
  <sheetFormatPr defaultRowHeight="15" x14ac:dyDescent="0.25"/>
  <cols>
    <col min="1" max="1" width="2.7109375" customWidth="1"/>
    <col min="2" max="2" width="22" bestFit="1" customWidth="1"/>
    <col min="3" max="3" width="24.85546875" bestFit="1" customWidth="1"/>
    <col min="4" max="4" width="13" bestFit="1" customWidth="1"/>
    <col min="5" max="5" width="15" bestFit="1" customWidth="1"/>
    <col min="6" max="6" width="11.7109375" bestFit="1" customWidth="1"/>
    <col min="7" max="7" width="20.140625" bestFit="1" customWidth="1"/>
    <col min="8" max="8" width="16.140625" bestFit="1" customWidth="1"/>
    <col min="9" max="9" width="21.28515625" bestFit="1" customWidth="1"/>
    <col min="10" max="10" width="26.140625" bestFit="1" customWidth="1"/>
    <col min="11" max="11" width="19.7109375" bestFit="1" customWidth="1"/>
    <col min="12" max="12" width="14.5703125" bestFit="1" customWidth="1"/>
    <col min="13" max="13" width="23.140625" bestFit="1" customWidth="1"/>
    <col min="14" max="14" width="16" bestFit="1" customWidth="1"/>
    <col min="15" max="15" width="16" hidden="1" customWidth="1"/>
    <col min="16" max="16" width="16.5703125" bestFit="1" customWidth="1"/>
    <col min="17" max="17" width="16.5703125" hidden="1" customWidth="1"/>
    <col min="18" max="18" width="16.5703125" customWidth="1"/>
    <col min="19" max="20" width="25" bestFit="1" customWidth="1"/>
    <col min="21" max="21" width="15.5703125" bestFit="1" customWidth="1"/>
    <col min="22" max="22" width="15.5703125" customWidth="1"/>
    <col min="23" max="23" width="169.5703125" bestFit="1" customWidth="1"/>
  </cols>
  <sheetData>
    <row r="5" spans="2:3" x14ac:dyDescent="0.25">
      <c r="B5" t="s">
        <v>789</v>
      </c>
      <c r="C5" t="s">
        <v>790</v>
      </c>
    </row>
    <row r="7" spans="2:3" x14ac:dyDescent="0.25">
      <c r="B7" s="65" t="s">
        <v>791</v>
      </c>
      <c r="C7" t="s">
        <v>792</v>
      </c>
    </row>
    <row r="8" spans="2:3" x14ac:dyDescent="0.25">
      <c r="B8" s="66" t="s">
        <v>0</v>
      </c>
    </row>
    <row r="9" spans="2:3" x14ac:dyDescent="0.25">
      <c r="B9" s="66" t="s">
        <v>1</v>
      </c>
    </row>
    <row r="10" spans="2:3" x14ac:dyDescent="0.25">
      <c r="B10" s="66" t="s">
        <v>305</v>
      </c>
    </row>
    <row r="11" spans="2:3" x14ac:dyDescent="0.25">
      <c r="B11" s="66" t="s">
        <v>301</v>
      </c>
    </row>
    <row r="12" spans="2:3" x14ac:dyDescent="0.25">
      <c r="B12" s="66" t="s">
        <v>306</v>
      </c>
    </row>
    <row r="13" spans="2:3" x14ac:dyDescent="0.25">
      <c r="B13" s="66" t="s">
        <v>307</v>
      </c>
    </row>
    <row r="14" spans="2:3" x14ac:dyDescent="0.25">
      <c r="B14" s="66" t="s">
        <v>308</v>
      </c>
    </row>
    <row r="15" spans="2:3" x14ac:dyDescent="0.25">
      <c r="B15" s="66" t="s">
        <v>309</v>
      </c>
    </row>
    <row r="16" spans="2:3" x14ac:dyDescent="0.25">
      <c r="B16" s="66" t="s">
        <v>310</v>
      </c>
    </row>
    <row r="17" spans="2:2" x14ac:dyDescent="0.25">
      <c r="B17" s="66" t="s">
        <v>6</v>
      </c>
    </row>
    <row r="18" spans="2:2" x14ac:dyDescent="0.25">
      <c r="B18" s="66" t="s">
        <v>291</v>
      </c>
    </row>
    <row r="19" spans="2:2" x14ac:dyDescent="0.25">
      <c r="B19" s="66" t="s">
        <v>7</v>
      </c>
    </row>
    <row r="20" spans="2:2" x14ac:dyDescent="0.25">
      <c r="B20" s="66" t="s">
        <v>295</v>
      </c>
    </row>
    <row r="21" spans="2:2" x14ac:dyDescent="0.25">
      <c r="B21" s="66" t="s">
        <v>303</v>
      </c>
    </row>
    <row r="22" spans="2:2" x14ac:dyDescent="0.25">
      <c r="B22" s="66" t="s">
        <v>296</v>
      </c>
    </row>
    <row r="23" spans="2:2" x14ac:dyDescent="0.25">
      <c r="B23" s="66" t="s">
        <v>304</v>
      </c>
    </row>
    <row r="24" spans="2:2" x14ac:dyDescent="0.25">
      <c r="B24" s="66" t="s">
        <v>288</v>
      </c>
    </row>
    <row r="25" spans="2:2" x14ac:dyDescent="0.25">
      <c r="B25" s="66" t="s">
        <v>340</v>
      </c>
    </row>
    <row r="26" spans="2:2" x14ac:dyDescent="0.25">
      <c r="B26" s="66" t="s">
        <v>341</v>
      </c>
    </row>
    <row r="27" spans="2:2" x14ac:dyDescent="0.25">
      <c r="B27" s="66" t="s">
        <v>342</v>
      </c>
    </row>
    <row r="28" spans="2:2" x14ac:dyDescent="0.25">
      <c r="B28" s="66" t="s">
        <v>382</v>
      </c>
    </row>
    <row r="29" spans="2:2" x14ac:dyDescent="0.25">
      <c r="B29" s="66" t="s">
        <v>302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4702-E090-4120-BF3E-4A55082CFA32}">
  <sheetPr codeName="Sheet2"/>
  <dimension ref="B4:E47"/>
  <sheetViews>
    <sheetView showGridLines="0" zoomScale="85" zoomScaleNormal="85" workbookViewId="0">
      <selection activeCell="G7" sqref="G7"/>
    </sheetView>
  </sheetViews>
  <sheetFormatPr defaultRowHeight="15" x14ac:dyDescent="0.25"/>
  <cols>
    <col min="2" max="2" width="10.5703125" style="2" customWidth="1"/>
    <col min="3" max="3" width="29" bestFit="1" customWidth="1"/>
    <col min="4" max="4" width="19.28515625" bestFit="1" customWidth="1"/>
    <col min="5" max="5" width="46.42578125" bestFit="1" customWidth="1"/>
  </cols>
  <sheetData>
    <row r="4" spans="2:5" x14ac:dyDescent="0.25">
      <c r="B4" s="3" t="s">
        <v>54</v>
      </c>
      <c r="C4" s="3" t="s">
        <v>2</v>
      </c>
      <c r="D4" s="3" t="s">
        <v>53</v>
      </c>
      <c r="E4" s="3" t="s">
        <v>302</v>
      </c>
    </row>
    <row r="5" spans="2:5" x14ac:dyDescent="0.25">
      <c r="B5" s="5" t="s">
        <v>101</v>
      </c>
      <c r="C5" s="6" t="s">
        <v>273</v>
      </c>
      <c r="D5" s="6" t="s">
        <v>273</v>
      </c>
      <c r="E5" s="1" t="str">
        <f>"('"&amp;LEVEL[[#This Row],[ID.LEVEL]]&amp;"','"&amp;LEVEL[[#This Row],[LEVEL]]&amp;"','"&amp;LEVEL[[#This Row],[NOTE]]&amp;"'),"</f>
        <v>('L0.00','EMPTY','EMPTY'),</v>
      </c>
    </row>
    <row r="6" spans="2:5" x14ac:dyDescent="0.25">
      <c r="B6" s="4" t="s">
        <v>55</v>
      </c>
      <c r="C6" s="1" t="s">
        <v>20</v>
      </c>
      <c r="D6" s="1" t="s">
        <v>31</v>
      </c>
      <c r="E6" s="1" t="str">
        <f>"('"&amp;LEVEL[[#This Row],[ID.LEVEL]]&amp;"','"&amp;LEVEL[[#This Row],[LEVEL]]&amp;"','"&amp;LEVEL[[#This Row],[NOTE]]&amp;"'),"</f>
        <v>('L0.01','Chief Executive Officer','Level C-Suite'),</v>
      </c>
    </row>
    <row r="7" spans="2:5" x14ac:dyDescent="0.25">
      <c r="B7" s="4" t="s">
        <v>56</v>
      </c>
      <c r="C7" s="1" t="s">
        <v>21</v>
      </c>
      <c r="D7" s="1" t="s">
        <v>31</v>
      </c>
      <c r="E7" s="1" t="str">
        <f>"('"&amp;LEVEL[[#This Row],[ID.LEVEL]]&amp;"','"&amp;LEVEL[[#This Row],[LEVEL]]&amp;"','"&amp;LEVEL[[#This Row],[NOTE]]&amp;"'),"</f>
        <v>('L0.02','Chief Financial Officer','Level C-Suite'),</v>
      </c>
    </row>
    <row r="8" spans="2:5" x14ac:dyDescent="0.25">
      <c r="B8" s="4" t="s">
        <v>57</v>
      </c>
      <c r="C8" s="1" t="s">
        <v>22</v>
      </c>
      <c r="D8" s="1" t="s">
        <v>31</v>
      </c>
      <c r="E8" s="1" t="str">
        <f>"('"&amp;LEVEL[[#This Row],[ID.LEVEL]]&amp;"','"&amp;LEVEL[[#This Row],[LEVEL]]&amp;"','"&amp;LEVEL[[#This Row],[NOTE]]&amp;"'),"</f>
        <v>('L0.03','Chief Operating Officer','Level C-Suite'),</v>
      </c>
    </row>
    <row r="9" spans="2:5" x14ac:dyDescent="0.25">
      <c r="B9" s="4" t="s">
        <v>58</v>
      </c>
      <c r="C9" s="1" t="s">
        <v>23</v>
      </c>
      <c r="D9" s="1" t="s">
        <v>31</v>
      </c>
      <c r="E9" s="1" t="str">
        <f>"('"&amp;LEVEL[[#This Row],[ID.LEVEL]]&amp;"','"&amp;LEVEL[[#This Row],[LEVEL]]&amp;"','"&amp;LEVEL[[#This Row],[NOTE]]&amp;"'),"</f>
        <v>('L0.04','Chief Technology Officer','Level C-Suite'),</v>
      </c>
    </row>
    <row r="10" spans="2:5" x14ac:dyDescent="0.25">
      <c r="B10" s="4" t="s">
        <v>59</v>
      </c>
      <c r="C10" s="1" t="s">
        <v>24</v>
      </c>
      <c r="D10" s="1" t="s">
        <v>31</v>
      </c>
      <c r="E10" s="1" t="str">
        <f>"('"&amp;LEVEL[[#This Row],[ID.LEVEL]]&amp;"','"&amp;LEVEL[[#This Row],[LEVEL]]&amp;"','"&amp;LEVEL[[#This Row],[NOTE]]&amp;"'),"</f>
        <v>('L0.05','Chief Information Officer','Level C-Suite'),</v>
      </c>
    </row>
    <row r="11" spans="2:5" x14ac:dyDescent="0.25">
      <c r="B11" s="4" t="s">
        <v>60</v>
      </c>
      <c r="C11" s="1" t="s">
        <v>25</v>
      </c>
      <c r="D11" s="1" t="s">
        <v>31</v>
      </c>
      <c r="E11" s="1" t="str">
        <f>"('"&amp;LEVEL[[#This Row],[ID.LEVEL]]&amp;"','"&amp;LEVEL[[#This Row],[LEVEL]]&amp;"','"&amp;LEVEL[[#This Row],[NOTE]]&amp;"'),"</f>
        <v>('L0.06','Chief Marketing Officer','Level C-Suite'),</v>
      </c>
    </row>
    <row r="12" spans="2:5" x14ac:dyDescent="0.25">
      <c r="B12" s="4" t="s">
        <v>61</v>
      </c>
      <c r="C12" s="1" t="s">
        <v>26</v>
      </c>
      <c r="D12" s="1" t="s">
        <v>31</v>
      </c>
      <c r="E12" s="1" t="str">
        <f>"('"&amp;LEVEL[[#This Row],[ID.LEVEL]]&amp;"','"&amp;LEVEL[[#This Row],[LEVEL]]&amp;"','"&amp;LEVEL[[#This Row],[NOTE]]&amp;"'),"</f>
        <v>('L0.07','Chief Human Resources Officer','Level C-Suite'),</v>
      </c>
    </row>
    <row r="13" spans="2:5" x14ac:dyDescent="0.25">
      <c r="B13" s="4" t="s">
        <v>62</v>
      </c>
      <c r="C13" s="1" t="s">
        <v>126</v>
      </c>
      <c r="D13" s="1" t="s">
        <v>31</v>
      </c>
      <c r="E13" s="1" t="str">
        <f>"('"&amp;LEVEL[[#This Row],[ID.LEVEL]]&amp;"','"&amp;LEVEL[[#This Row],[LEVEL]]&amp;"','"&amp;LEVEL[[#This Row],[NOTE]]&amp;"'),"</f>
        <v>('L0.08','Chief Leasing Officer','Level C-Suite'),</v>
      </c>
    </row>
    <row r="14" spans="2:5" x14ac:dyDescent="0.25">
      <c r="B14" s="4" t="s">
        <v>63</v>
      </c>
      <c r="C14" s="1" t="s">
        <v>27</v>
      </c>
      <c r="D14" s="1" t="s">
        <v>31</v>
      </c>
      <c r="E14" s="1" t="str">
        <f>"('"&amp;LEVEL[[#This Row],[ID.LEVEL]]&amp;"','"&amp;LEVEL[[#This Row],[LEVEL]]&amp;"','"&amp;LEVEL[[#This Row],[NOTE]]&amp;"'),"</f>
        <v>('L0.09','Chief Compliance Officer','Level C-Suite'),</v>
      </c>
    </row>
    <row r="15" spans="2:5" x14ac:dyDescent="0.25">
      <c r="B15" s="4" t="s">
        <v>64</v>
      </c>
      <c r="C15" s="1" t="s">
        <v>28</v>
      </c>
      <c r="D15" s="1" t="s">
        <v>31</v>
      </c>
      <c r="E15" s="1" t="str">
        <f>"('"&amp;LEVEL[[#This Row],[ID.LEVEL]]&amp;"','"&amp;LEVEL[[#This Row],[LEVEL]]&amp;"','"&amp;LEVEL[[#This Row],[NOTE]]&amp;"'),"</f>
        <v>('L0.10','Chief Data Officer','Level C-Suite'),</v>
      </c>
    </row>
    <row r="16" spans="2:5" x14ac:dyDescent="0.25">
      <c r="B16" s="4" t="s">
        <v>65</v>
      </c>
      <c r="C16" s="1" t="s">
        <v>29</v>
      </c>
      <c r="D16" s="1" t="s">
        <v>31</v>
      </c>
      <c r="E16" s="1" t="str">
        <f>"('"&amp;LEVEL[[#This Row],[ID.LEVEL]]&amp;"','"&amp;LEVEL[[#This Row],[LEVEL]]&amp;"','"&amp;LEVEL[[#This Row],[NOTE]]&amp;"'),"</f>
        <v>('L0.11','Chief Analytics Officer','Level C-Suite'),</v>
      </c>
    </row>
    <row r="17" spans="2:5" x14ac:dyDescent="0.25">
      <c r="B17" s="4" t="s">
        <v>66</v>
      </c>
      <c r="C17" s="1" t="s">
        <v>30</v>
      </c>
      <c r="D17" s="1" t="s">
        <v>31</v>
      </c>
      <c r="E17" s="1" t="str">
        <f>"('"&amp;LEVEL[[#This Row],[ID.LEVEL]]&amp;"','"&amp;LEVEL[[#This Row],[LEVEL]]&amp;"','"&amp;LEVEL[[#This Row],[NOTE]]&amp;"'),"</f>
        <v>('L0.12','Chief Product Officer','Level C-Suite'),</v>
      </c>
    </row>
    <row r="18" spans="2:5" x14ac:dyDescent="0.25">
      <c r="B18" s="4" t="s">
        <v>67</v>
      </c>
      <c r="C18" s="1" t="s">
        <v>33</v>
      </c>
      <c r="D18" s="1" t="s">
        <v>32</v>
      </c>
      <c r="E18" s="1" t="str">
        <f>"('"&amp;LEVEL[[#This Row],[ID.LEVEL]]&amp;"','"&amp;LEVEL[[#This Row],[LEVEL]]&amp;"','"&amp;LEVEL[[#This Row],[NOTE]]&amp;"'),"</f>
        <v>('L1.13','Chairman','Board of Directors'),</v>
      </c>
    </row>
    <row r="19" spans="2:5" x14ac:dyDescent="0.25">
      <c r="B19" s="4" t="s">
        <v>68</v>
      </c>
      <c r="C19" s="1" t="s">
        <v>34</v>
      </c>
      <c r="D19" s="1" t="s">
        <v>32</v>
      </c>
      <c r="E19" s="1" t="str">
        <f>"('"&amp;LEVEL[[#This Row],[ID.LEVEL]]&amp;"','"&amp;LEVEL[[#This Row],[LEVEL]]&amp;"','"&amp;LEVEL[[#This Row],[NOTE]]&amp;"'),"</f>
        <v>('L1.14','Komisaris Utama','Board of Directors'),</v>
      </c>
    </row>
    <row r="20" spans="2:5" x14ac:dyDescent="0.25">
      <c r="B20" s="4" t="s">
        <v>69</v>
      </c>
      <c r="C20" s="1" t="s">
        <v>35</v>
      </c>
      <c r="D20" s="1" t="s">
        <v>32</v>
      </c>
      <c r="E20" s="1" t="str">
        <f>"('"&amp;LEVEL[[#This Row],[ID.LEVEL]]&amp;"','"&amp;LEVEL[[#This Row],[LEVEL]]&amp;"','"&amp;LEVEL[[#This Row],[NOTE]]&amp;"'),"</f>
        <v>('L1.15','Komisaris Independen','Board of Directors'),</v>
      </c>
    </row>
    <row r="21" spans="2:5" x14ac:dyDescent="0.25">
      <c r="B21" s="4" t="s">
        <v>70</v>
      </c>
      <c r="C21" s="1" t="s">
        <v>36</v>
      </c>
      <c r="D21" s="1" t="s">
        <v>32</v>
      </c>
      <c r="E21" s="1" t="str">
        <f>"('"&amp;LEVEL[[#This Row],[ID.LEVEL]]&amp;"','"&amp;LEVEL[[#This Row],[LEVEL]]&amp;"','"&amp;LEVEL[[#This Row],[NOTE]]&amp;"'),"</f>
        <v>('L1.16','Direktur','Board of Directors'),</v>
      </c>
    </row>
    <row r="22" spans="2:5" x14ac:dyDescent="0.25">
      <c r="B22" s="4" t="s">
        <v>71</v>
      </c>
      <c r="C22" s="1" t="s">
        <v>37</v>
      </c>
      <c r="D22" s="1" t="s">
        <v>39</v>
      </c>
      <c r="E22" s="1" t="str">
        <f>"('"&amp;LEVEL[[#This Row],[ID.LEVEL]]&amp;"','"&amp;LEVEL[[#This Row],[LEVEL]]&amp;"','"&amp;LEVEL[[#This Row],[NOTE]]&amp;"'),"</f>
        <v>('L2.17','Senior Vice President','Vice President'),</v>
      </c>
    </row>
    <row r="23" spans="2:5" x14ac:dyDescent="0.25">
      <c r="B23" s="4" t="s">
        <v>72</v>
      </c>
      <c r="C23" s="1" t="s">
        <v>38</v>
      </c>
      <c r="D23" s="1" t="s">
        <v>39</v>
      </c>
      <c r="E23" s="1" t="str">
        <f>"('"&amp;LEVEL[[#This Row],[ID.LEVEL]]&amp;"','"&amp;LEVEL[[#This Row],[LEVEL]]&amp;"','"&amp;LEVEL[[#This Row],[NOTE]]&amp;"'),"</f>
        <v>('L2.18','Executive Vice President','Vice President'),</v>
      </c>
    </row>
    <row r="24" spans="2:5" x14ac:dyDescent="0.25">
      <c r="B24" s="4" t="s">
        <v>73</v>
      </c>
      <c r="C24" s="1" t="s">
        <v>39</v>
      </c>
      <c r="D24" s="1" t="s">
        <v>39</v>
      </c>
      <c r="E24" s="1" t="str">
        <f>"('"&amp;LEVEL[[#This Row],[ID.LEVEL]]&amp;"','"&amp;LEVEL[[#This Row],[LEVEL]]&amp;"','"&amp;LEVEL[[#This Row],[NOTE]]&amp;"'),"</f>
        <v>('L2.19','Vice President','Vice President'),</v>
      </c>
    </row>
    <row r="25" spans="2:5" x14ac:dyDescent="0.25">
      <c r="B25" s="4" t="s">
        <v>74</v>
      </c>
      <c r="C25" s="1" t="s">
        <v>40</v>
      </c>
      <c r="D25" s="1" t="s">
        <v>39</v>
      </c>
      <c r="E25" s="1" t="str">
        <f>"('"&amp;LEVEL[[#This Row],[ID.LEVEL]]&amp;"','"&amp;LEVEL[[#This Row],[LEVEL]]&amp;"','"&amp;LEVEL[[#This Row],[NOTE]]&amp;"'),"</f>
        <v>('L2.20','Associate Vice President','Vice President'),</v>
      </c>
    </row>
    <row r="26" spans="2:5" x14ac:dyDescent="0.25">
      <c r="B26" s="4" t="s">
        <v>75</v>
      </c>
      <c r="C26" s="1" t="s">
        <v>41</v>
      </c>
      <c r="D26" s="1" t="s">
        <v>41</v>
      </c>
      <c r="E26" s="1" t="str">
        <f>"('"&amp;LEVEL[[#This Row],[ID.LEVEL]]&amp;"','"&amp;LEVEL[[#This Row],[LEVEL]]&amp;"','"&amp;LEVEL[[#This Row],[NOTE]]&amp;"'),"</f>
        <v>('L3.21','Head of Department','Head of Department'),</v>
      </c>
    </row>
    <row r="27" spans="2:5" x14ac:dyDescent="0.25">
      <c r="B27" s="4" t="s">
        <v>76</v>
      </c>
      <c r="C27" s="1" t="s">
        <v>12</v>
      </c>
      <c r="D27" s="1" t="s">
        <v>41</v>
      </c>
      <c r="E27" s="1" t="str">
        <f>"('"&amp;LEVEL[[#This Row],[ID.LEVEL]]&amp;"','"&amp;LEVEL[[#This Row],[LEVEL]]&amp;"','"&amp;LEVEL[[#This Row],[NOTE]]&amp;"'),"</f>
        <v>('L3.22','General Manager','Head of Department'),</v>
      </c>
    </row>
    <row r="28" spans="2:5" x14ac:dyDescent="0.25">
      <c r="B28" s="4" t="s">
        <v>77</v>
      </c>
      <c r="C28" s="1" t="s">
        <v>10</v>
      </c>
      <c r="D28" s="1" t="s">
        <v>41</v>
      </c>
      <c r="E28" s="1" t="str">
        <f>"('"&amp;LEVEL[[#This Row],[ID.LEVEL]]&amp;"','"&amp;LEVEL[[#This Row],[LEVEL]]&amp;"','"&amp;LEVEL[[#This Row],[NOTE]]&amp;"'),"</f>
        <v>('L3.23','Deputy General Manager','Head of Department'),</v>
      </c>
    </row>
    <row r="29" spans="2:5" x14ac:dyDescent="0.25">
      <c r="B29" s="4" t="s">
        <v>78</v>
      </c>
      <c r="C29" s="1" t="s">
        <v>11</v>
      </c>
      <c r="D29" s="1" t="s">
        <v>41</v>
      </c>
      <c r="E29" s="1" t="str">
        <f>"('"&amp;LEVEL[[#This Row],[ID.LEVEL]]&amp;"','"&amp;LEVEL[[#This Row],[LEVEL]]&amp;"','"&amp;LEVEL[[#This Row],[NOTE]]&amp;"'),"</f>
        <v>('L3.24','Director','Head of Department'),</v>
      </c>
    </row>
    <row r="30" spans="2:5" x14ac:dyDescent="0.25">
      <c r="B30" s="4" t="s">
        <v>79</v>
      </c>
      <c r="C30" s="1" t="s">
        <v>14</v>
      </c>
      <c r="D30" s="1" t="s">
        <v>97</v>
      </c>
      <c r="E30" s="1" t="str">
        <f>"('"&amp;LEVEL[[#This Row],[ID.LEVEL]]&amp;"','"&amp;LEVEL[[#This Row],[LEVEL]]&amp;"','"&amp;LEVEL[[#This Row],[NOTE]]&amp;"'),"</f>
        <v>('L4.25','Senior Manager','Team Control'),</v>
      </c>
    </row>
    <row r="31" spans="2:5" x14ac:dyDescent="0.25">
      <c r="B31" s="4" t="s">
        <v>80</v>
      </c>
      <c r="C31" s="1" t="s">
        <v>13</v>
      </c>
      <c r="D31" s="1" t="s">
        <v>97</v>
      </c>
      <c r="E31" s="1" t="str">
        <f>"('"&amp;LEVEL[[#This Row],[ID.LEVEL]]&amp;"','"&amp;LEVEL[[#This Row],[LEVEL]]&amp;"','"&amp;LEVEL[[#This Row],[NOTE]]&amp;"'),"</f>
        <v>('L4.26','Manager','Team Control'),</v>
      </c>
    </row>
    <row r="32" spans="2:5" x14ac:dyDescent="0.25">
      <c r="B32" s="4" t="s">
        <v>81</v>
      </c>
      <c r="C32" s="1" t="s">
        <v>42</v>
      </c>
      <c r="D32" s="1" t="s">
        <v>97</v>
      </c>
      <c r="E32" s="1" t="str">
        <f>"('"&amp;LEVEL[[#This Row],[ID.LEVEL]]&amp;"','"&amp;LEVEL[[#This Row],[LEVEL]]&amp;"','"&amp;LEVEL[[#This Row],[NOTE]]&amp;"'),"</f>
        <v>('L4.27','Deputy Manager','Team Control'),</v>
      </c>
    </row>
    <row r="33" spans="2:5" x14ac:dyDescent="0.25">
      <c r="B33" s="4" t="s">
        <v>82</v>
      </c>
      <c r="C33" s="1" t="s">
        <v>9</v>
      </c>
      <c r="D33" s="1" t="s">
        <v>97</v>
      </c>
      <c r="E33" s="1" t="str">
        <f>"('"&amp;LEVEL[[#This Row],[ID.LEVEL]]&amp;"','"&amp;LEVEL[[#This Row],[LEVEL]]&amp;"','"&amp;LEVEL[[#This Row],[NOTE]]&amp;"'),"</f>
        <v>('L4.28','Assistant Manager','Team Control'),</v>
      </c>
    </row>
    <row r="34" spans="2:5" x14ac:dyDescent="0.25">
      <c r="B34" s="4" t="s">
        <v>83</v>
      </c>
      <c r="C34" s="1" t="s">
        <v>16</v>
      </c>
      <c r="D34" s="1" t="s">
        <v>98</v>
      </c>
      <c r="E34" s="1" t="str">
        <f>"('"&amp;LEVEL[[#This Row],[ID.LEVEL]]&amp;"','"&amp;LEVEL[[#This Row],[LEVEL]]&amp;"','"&amp;LEVEL[[#This Row],[NOTE]]&amp;"'),"</f>
        <v>('L5.29','Senior Supervisor','Team Lead'),</v>
      </c>
    </row>
    <row r="35" spans="2:5" x14ac:dyDescent="0.25">
      <c r="B35" s="4" t="s">
        <v>84</v>
      </c>
      <c r="C35" s="1" t="s">
        <v>18</v>
      </c>
      <c r="D35" s="1" t="s">
        <v>98</v>
      </c>
      <c r="E35" s="1" t="str">
        <f>"('"&amp;LEVEL[[#This Row],[ID.LEVEL]]&amp;"','"&amp;LEVEL[[#This Row],[LEVEL]]&amp;"','"&amp;LEVEL[[#This Row],[NOTE]]&amp;"'),"</f>
        <v>('L5.30','Supervisor','Team Lead'),</v>
      </c>
    </row>
    <row r="36" spans="2:5" x14ac:dyDescent="0.25">
      <c r="B36" s="4" t="s">
        <v>85</v>
      </c>
      <c r="C36" s="1" t="s">
        <v>43</v>
      </c>
      <c r="D36" s="1" t="s">
        <v>98</v>
      </c>
      <c r="E36" s="1" t="str">
        <f>"('"&amp;LEVEL[[#This Row],[ID.LEVEL]]&amp;"','"&amp;LEVEL[[#This Row],[LEVEL]]&amp;"','"&amp;LEVEL[[#This Row],[NOTE]]&amp;"'),"</f>
        <v>('L5.31','Team Leader','Team Lead'),</v>
      </c>
    </row>
    <row r="37" spans="2:5" x14ac:dyDescent="0.25">
      <c r="B37" s="4" t="s">
        <v>86</v>
      </c>
      <c r="C37" s="1" t="s">
        <v>44</v>
      </c>
      <c r="D37" s="1" t="s">
        <v>98</v>
      </c>
      <c r="E37" s="1" t="str">
        <f>"('"&amp;LEVEL[[#This Row],[ID.LEVEL]]&amp;"','"&amp;LEVEL[[#This Row],[LEVEL]]&amp;"','"&amp;LEVEL[[#This Row],[NOTE]]&amp;"'),"</f>
        <v>('L5.32','Coordinator','Team Lead'),</v>
      </c>
    </row>
    <row r="38" spans="2:5" x14ac:dyDescent="0.25">
      <c r="B38" s="4" t="s">
        <v>87</v>
      </c>
      <c r="C38" s="1" t="s">
        <v>45</v>
      </c>
      <c r="D38" s="1" t="s">
        <v>98</v>
      </c>
      <c r="E38" s="1" t="str">
        <f>"('"&amp;LEVEL[[#This Row],[ID.LEVEL]]&amp;"','"&amp;LEVEL[[#This Row],[LEVEL]]&amp;"','"&amp;LEVEL[[#This Row],[NOTE]]&amp;"'),"</f>
        <v>('L5.33','Foreman','Team Lead'),</v>
      </c>
    </row>
    <row r="39" spans="2:5" x14ac:dyDescent="0.25">
      <c r="B39" s="4" t="s">
        <v>88</v>
      </c>
      <c r="C39" s="1" t="s">
        <v>15</v>
      </c>
      <c r="D39" s="1" t="s">
        <v>99</v>
      </c>
      <c r="E39" s="1" t="str">
        <f>"('"&amp;LEVEL[[#This Row],[ID.LEVEL]]&amp;"','"&amp;LEVEL[[#This Row],[LEVEL]]&amp;"','"&amp;LEVEL[[#This Row],[NOTE]]&amp;"'),"</f>
        <v>('L6.34','Senior Staff','Implementer'),</v>
      </c>
    </row>
    <row r="40" spans="2:5" x14ac:dyDescent="0.25">
      <c r="B40" s="4" t="s">
        <v>89</v>
      </c>
      <c r="C40" s="1" t="s">
        <v>17</v>
      </c>
      <c r="D40" s="1" t="s">
        <v>99</v>
      </c>
      <c r="E40" s="1" t="str">
        <f>"('"&amp;LEVEL[[#This Row],[ID.LEVEL]]&amp;"','"&amp;LEVEL[[#This Row],[LEVEL]]&amp;"','"&amp;LEVEL[[#This Row],[NOTE]]&amp;"'),"</f>
        <v>('L6.35','Staff','Implementer'),</v>
      </c>
    </row>
    <row r="41" spans="2:5" x14ac:dyDescent="0.25">
      <c r="B41" s="4" t="s">
        <v>90</v>
      </c>
      <c r="C41" s="1" t="s">
        <v>46</v>
      </c>
      <c r="D41" s="1" t="s">
        <v>99</v>
      </c>
      <c r="E41" s="1" t="str">
        <f>"('"&amp;LEVEL[[#This Row],[ID.LEVEL]]&amp;"','"&amp;LEVEL[[#This Row],[LEVEL]]&amp;"','"&amp;LEVEL[[#This Row],[NOTE]]&amp;"'),"</f>
        <v>('L6.36','Officer','Implementer'),</v>
      </c>
    </row>
    <row r="42" spans="2:5" x14ac:dyDescent="0.25">
      <c r="B42" s="4" t="s">
        <v>91</v>
      </c>
      <c r="C42" s="1" t="s">
        <v>47</v>
      </c>
      <c r="D42" s="1" t="s">
        <v>99</v>
      </c>
      <c r="E42" s="1" t="str">
        <f>"('"&amp;LEVEL[[#This Row],[ID.LEVEL]]&amp;"','"&amp;LEVEL[[#This Row],[LEVEL]]&amp;"','"&amp;LEVEL[[#This Row],[NOTE]]&amp;"'),"</f>
        <v>('L6.37','Associate','Implementer'),</v>
      </c>
    </row>
    <row r="43" spans="2:5" x14ac:dyDescent="0.25">
      <c r="B43" s="4" t="s">
        <v>92</v>
      </c>
      <c r="C43" s="1" t="s">
        <v>48</v>
      </c>
      <c r="D43" s="1" t="s">
        <v>99</v>
      </c>
      <c r="E43" s="1" t="str">
        <f>"('"&amp;LEVEL[[#This Row],[ID.LEVEL]]&amp;"','"&amp;LEVEL[[#This Row],[LEVEL]]&amp;"','"&amp;LEVEL[[#This Row],[NOTE]]&amp;"'),"</f>
        <v>('L6.38','Analyst','Implementer'),</v>
      </c>
    </row>
    <row r="44" spans="2:5" x14ac:dyDescent="0.25">
      <c r="B44" s="4" t="s">
        <v>93</v>
      </c>
      <c r="C44" s="1" t="s">
        <v>49</v>
      </c>
      <c r="D44" s="1" t="s">
        <v>100</v>
      </c>
      <c r="E44" s="1" t="str">
        <f>"('"&amp;LEVEL[[#This Row],[ID.LEVEL]]&amp;"','"&amp;LEVEL[[#This Row],[LEVEL]]&amp;"','"&amp;LEVEL[[#This Row],[NOTE]]&amp;"'),"</f>
        <v>('L6.39','Junior Staff','Beginner'),</v>
      </c>
    </row>
    <row r="45" spans="2:5" x14ac:dyDescent="0.25">
      <c r="B45" s="4" t="s">
        <v>94</v>
      </c>
      <c r="C45" s="1" t="s">
        <v>50</v>
      </c>
      <c r="D45" s="1" t="s">
        <v>100</v>
      </c>
      <c r="E45" s="1" t="str">
        <f>"('"&amp;LEVEL[[#This Row],[ID.LEVEL]]&amp;"','"&amp;LEVEL[[#This Row],[LEVEL]]&amp;"','"&amp;LEVEL[[#This Row],[NOTE]]&amp;"'),"</f>
        <v>('L7.40','Intern','Beginner'),</v>
      </c>
    </row>
    <row r="46" spans="2:5" x14ac:dyDescent="0.25">
      <c r="B46" s="4" t="s">
        <v>95</v>
      </c>
      <c r="C46" s="1" t="s">
        <v>51</v>
      </c>
      <c r="D46" s="1" t="s">
        <v>100</v>
      </c>
      <c r="E46" s="1" t="str">
        <f>"('"&amp;LEVEL[[#This Row],[ID.LEVEL]]&amp;"','"&amp;LEVEL[[#This Row],[LEVEL]]&amp;"','"&amp;LEVEL[[#This Row],[NOTE]]&amp;"'),"</f>
        <v>('L7.41','Management Trainee','Beginner'),</v>
      </c>
    </row>
    <row r="47" spans="2:5" x14ac:dyDescent="0.25">
      <c r="B47" s="4" t="s">
        <v>96</v>
      </c>
      <c r="C47" s="1" t="s">
        <v>52</v>
      </c>
      <c r="D47" s="1" t="s">
        <v>100</v>
      </c>
      <c r="E47" s="1" t="str">
        <f>"('"&amp;LEVEL[[#This Row],[ID.LEVEL]]&amp;"','"&amp;LEVEL[[#This Row],[LEVEL]]&amp;"','"&amp;LEVEL[[#This Row],[NOTE]]&amp;"'),"</f>
        <v>('L7.42','Fresh Graduate','Beginner'),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7C7A-F39A-48A0-B3CD-2137D56062B1}">
  <sheetPr codeName="Sheet3"/>
  <dimension ref="B4:E23"/>
  <sheetViews>
    <sheetView workbookViewId="0">
      <selection activeCell="E11" sqref="E11"/>
    </sheetView>
  </sheetViews>
  <sheetFormatPr defaultRowHeight="15" x14ac:dyDescent="0.25"/>
  <cols>
    <col min="2" max="2" width="10.5703125" style="2" customWidth="1"/>
    <col min="3" max="3" width="29" bestFit="1" customWidth="1"/>
    <col min="4" max="4" width="19.28515625" bestFit="1" customWidth="1"/>
    <col min="5" max="5" width="50" bestFit="1" customWidth="1"/>
  </cols>
  <sheetData>
    <row r="4" spans="2:5" x14ac:dyDescent="0.25">
      <c r="B4" s="3" t="s">
        <v>312</v>
      </c>
      <c r="C4" s="3" t="s">
        <v>103</v>
      </c>
      <c r="D4" s="3" t="s">
        <v>53</v>
      </c>
      <c r="E4" s="3" t="s">
        <v>302</v>
      </c>
    </row>
    <row r="5" spans="2:5" x14ac:dyDescent="0.25">
      <c r="B5" s="5" t="s">
        <v>107</v>
      </c>
      <c r="C5" s="6" t="s">
        <v>273</v>
      </c>
      <c r="D5" s="6" t="s">
        <v>273</v>
      </c>
      <c r="E5" s="7" t="str">
        <f>"('"&amp;DIRECTORATE[[#This Row],[ID_DIR]]&amp;"','"&amp;
DIRECTORATE[[#This Row],[DIRECTORATE]]&amp;"','"&amp;
DIRECTORATE[[#This Row],[NOTE]]&amp;"'),"</f>
        <v>('DIR0.00','EMPTY','EMPTY'),</v>
      </c>
    </row>
    <row r="6" spans="2:5" x14ac:dyDescent="0.25">
      <c r="B6" s="4" t="s">
        <v>108</v>
      </c>
      <c r="C6" s="1" t="s">
        <v>20</v>
      </c>
      <c r="D6" s="1" t="s">
        <v>31</v>
      </c>
      <c r="E6" s="7" t="str">
        <f>"('"&amp;DIRECTORATE[[#This Row],[ID_DIR]]&amp;"','"&amp;
DIRECTORATE[[#This Row],[DIRECTORATE]]&amp;"','"&amp;
DIRECTORATE[[#This Row],[NOTE]]&amp;"'),"</f>
        <v>('DIR0.01','Chief Executive Officer','Level C-Suite'),</v>
      </c>
    </row>
    <row r="7" spans="2:5" x14ac:dyDescent="0.25">
      <c r="B7" s="4" t="s">
        <v>109</v>
      </c>
      <c r="C7" s="1" t="s">
        <v>21</v>
      </c>
      <c r="D7" s="1" t="s">
        <v>31</v>
      </c>
      <c r="E7" s="7" t="str">
        <f>"('"&amp;DIRECTORATE[[#This Row],[ID_DIR]]&amp;"','"&amp;
DIRECTORATE[[#This Row],[DIRECTORATE]]&amp;"','"&amp;
DIRECTORATE[[#This Row],[NOTE]]&amp;"'),"</f>
        <v>('DIR0.02','Chief Financial Officer','Level C-Suite'),</v>
      </c>
    </row>
    <row r="8" spans="2:5" x14ac:dyDescent="0.25">
      <c r="B8" s="4" t="s">
        <v>110</v>
      </c>
      <c r="C8" s="1" t="s">
        <v>22</v>
      </c>
      <c r="D8" s="1" t="s">
        <v>31</v>
      </c>
      <c r="E8" s="7" t="str">
        <f>"('"&amp;DIRECTORATE[[#This Row],[ID_DIR]]&amp;"','"&amp;
DIRECTORATE[[#This Row],[DIRECTORATE]]&amp;"','"&amp;
DIRECTORATE[[#This Row],[NOTE]]&amp;"'),"</f>
        <v>('DIR0.03','Chief Operating Officer','Level C-Suite'),</v>
      </c>
    </row>
    <row r="9" spans="2:5" x14ac:dyDescent="0.25">
      <c r="B9" s="4" t="s">
        <v>111</v>
      </c>
      <c r="C9" s="1" t="s">
        <v>23</v>
      </c>
      <c r="D9" s="1" t="s">
        <v>31</v>
      </c>
      <c r="E9" s="7" t="str">
        <f>"('"&amp;DIRECTORATE[[#This Row],[ID_DIR]]&amp;"','"&amp;
DIRECTORATE[[#This Row],[DIRECTORATE]]&amp;"','"&amp;
DIRECTORATE[[#This Row],[NOTE]]&amp;"'),"</f>
        <v>('DIR0.04','Chief Technology Officer','Level C-Suite'),</v>
      </c>
    </row>
    <row r="10" spans="2:5" x14ac:dyDescent="0.25">
      <c r="B10" s="4" t="s">
        <v>112</v>
      </c>
      <c r="C10" s="1" t="s">
        <v>24</v>
      </c>
      <c r="D10" s="1" t="s">
        <v>31</v>
      </c>
      <c r="E10" s="7" t="str">
        <f>"('"&amp;DIRECTORATE[[#This Row],[ID_DIR]]&amp;"','"&amp;
DIRECTORATE[[#This Row],[DIRECTORATE]]&amp;"','"&amp;
DIRECTORATE[[#This Row],[NOTE]]&amp;"'),"</f>
        <v>('DIR0.05','Chief Information Officer','Level C-Suite'),</v>
      </c>
    </row>
    <row r="11" spans="2:5" x14ac:dyDescent="0.25">
      <c r="B11" s="4" t="s">
        <v>113</v>
      </c>
      <c r="C11" s="1" t="s">
        <v>25</v>
      </c>
      <c r="D11" s="1" t="s">
        <v>31</v>
      </c>
      <c r="E11" s="7" t="str">
        <f>"('"&amp;DIRECTORATE[[#This Row],[ID_DIR]]&amp;"','"&amp;
DIRECTORATE[[#This Row],[DIRECTORATE]]&amp;"','"&amp;
DIRECTORATE[[#This Row],[NOTE]]&amp;"'),"</f>
        <v>('DIR0.06','Chief Marketing Officer','Level C-Suite'),</v>
      </c>
    </row>
    <row r="12" spans="2:5" x14ac:dyDescent="0.25">
      <c r="B12" s="4" t="s">
        <v>114</v>
      </c>
      <c r="C12" s="1" t="s">
        <v>26</v>
      </c>
      <c r="D12" s="1" t="s">
        <v>31</v>
      </c>
      <c r="E12" s="7" t="str">
        <f>"('"&amp;DIRECTORATE[[#This Row],[ID_DIR]]&amp;"','"&amp;
DIRECTORATE[[#This Row],[DIRECTORATE]]&amp;"','"&amp;
DIRECTORATE[[#This Row],[NOTE]]&amp;"'),"</f>
        <v>('DIR0.07','Chief Human Resources Officer','Level C-Suite'),</v>
      </c>
    </row>
    <row r="13" spans="2:5" x14ac:dyDescent="0.25">
      <c r="B13" s="4" t="s">
        <v>115</v>
      </c>
      <c r="C13" s="1" t="s">
        <v>126</v>
      </c>
      <c r="D13" s="1" t="s">
        <v>31</v>
      </c>
      <c r="E13" s="7" t="str">
        <f>"('"&amp;DIRECTORATE[[#This Row],[ID_DIR]]&amp;"','"&amp;
DIRECTORATE[[#This Row],[DIRECTORATE]]&amp;"','"&amp;
DIRECTORATE[[#This Row],[NOTE]]&amp;"'),"</f>
        <v>('DIR0.08','Chief Leasing Officer','Level C-Suite'),</v>
      </c>
    </row>
    <row r="14" spans="2:5" x14ac:dyDescent="0.25">
      <c r="B14" s="4" t="s">
        <v>116</v>
      </c>
      <c r="C14" s="1" t="s">
        <v>27</v>
      </c>
      <c r="D14" s="1" t="s">
        <v>31</v>
      </c>
      <c r="E14" s="7" t="str">
        <f>"('"&amp;DIRECTORATE[[#This Row],[ID_DIR]]&amp;"','"&amp;
DIRECTORATE[[#This Row],[DIRECTORATE]]&amp;"','"&amp;
DIRECTORATE[[#This Row],[NOTE]]&amp;"'),"</f>
        <v>('DIR0.09','Chief Compliance Officer','Level C-Suite'),</v>
      </c>
    </row>
    <row r="15" spans="2:5" x14ac:dyDescent="0.25">
      <c r="B15" s="4" t="s">
        <v>117</v>
      </c>
      <c r="C15" s="1" t="s">
        <v>28</v>
      </c>
      <c r="D15" s="1" t="s">
        <v>31</v>
      </c>
      <c r="E15" s="7" t="str">
        <f>"('"&amp;DIRECTORATE[[#This Row],[ID_DIR]]&amp;"','"&amp;
DIRECTORATE[[#This Row],[DIRECTORATE]]&amp;"','"&amp;
DIRECTORATE[[#This Row],[NOTE]]&amp;"'),"</f>
        <v>('DIR0.10','Chief Data Officer','Level C-Suite'),</v>
      </c>
    </row>
    <row r="16" spans="2:5" x14ac:dyDescent="0.25">
      <c r="B16" s="4" t="s">
        <v>118</v>
      </c>
      <c r="C16" s="1" t="s">
        <v>29</v>
      </c>
      <c r="D16" s="1" t="s">
        <v>31</v>
      </c>
      <c r="E16" s="7" t="str">
        <f>"('"&amp;DIRECTORATE[[#This Row],[ID_DIR]]&amp;"','"&amp;
DIRECTORATE[[#This Row],[DIRECTORATE]]&amp;"','"&amp;
DIRECTORATE[[#This Row],[NOTE]]&amp;"'),"</f>
        <v>('DIR0.11','Chief Analytics Officer','Level C-Suite'),</v>
      </c>
    </row>
    <row r="17" spans="2:5" x14ac:dyDescent="0.25">
      <c r="B17" s="4" t="s">
        <v>119</v>
      </c>
      <c r="C17" s="1" t="s">
        <v>30</v>
      </c>
      <c r="D17" s="1" t="s">
        <v>31</v>
      </c>
      <c r="E17" s="7" t="str">
        <f>"('"&amp;DIRECTORATE[[#This Row],[ID_DIR]]&amp;"','"&amp;
DIRECTORATE[[#This Row],[DIRECTORATE]]&amp;"','"&amp;
DIRECTORATE[[#This Row],[NOTE]]&amp;"'),"</f>
        <v>('DIR0.12','Chief Product Officer','Level C-Suite'),</v>
      </c>
    </row>
    <row r="18" spans="2:5" x14ac:dyDescent="0.25">
      <c r="B18" s="4" t="s">
        <v>120</v>
      </c>
      <c r="C18" s="1" t="s">
        <v>33</v>
      </c>
      <c r="D18" s="1" t="s">
        <v>32</v>
      </c>
      <c r="E18" s="7" t="str">
        <f>"('"&amp;DIRECTORATE[[#This Row],[ID_DIR]]&amp;"','"&amp;
DIRECTORATE[[#This Row],[DIRECTORATE]]&amp;"','"&amp;
DIRECTORATE[[#This Row],[NOTE]]&amp;"'),"</f>
        <v>('DIR1.13','Chairman','Board of Directors'),</v>
      </c>
    </row>
    <row r="19" spans="2:5" x14ac:dyDescent="0.25">
      <c r="B19" s="4" t="s">
        <v>121</v>
      </c>
      <c r="C19" s="1" t="s">
        <v>34</v>
      </c>
      <c r="D19" s="1" t="s">
        <v>32</v>
      </c>
      <c r="E19" s="7" t="str">
        <f>"('"&amp;DIRECTORATE[[#This Row],[ID_DIR]]&amp;"','"&amp;
DIRECTORATE[[#This Row],[DIRECTORATE]]&amp;"','"&amp;
DIRECTORATE[[#This Row],[NOTE]]&amp;"'),"</f>
        <v>('DIR1.14','Komisaris Utama','Board of Directors'),</v>
      </c>
    </row>
    <row r="20" spans="2:5" x14ac:dyDescent="0.25">
      <c r="B20" s="4" t="s">
        <v>122</v>
      </c>
      <c r="C20" s="1" t="s">
        <v>35</v>
      </c>
      <c r="D20" s="1" t="s">
        <v>32</v>
      </c>
      <c r="E20" s="7" t="str">
        <f>"('"&amp;DIRECTORATE[[#This Row],[ID_DIR]]&amp;"','"&amp;
DIRECTORATE[[#This Row],[DIRECTORATE]]&amp;"','"&amp;
DIRECTORATE[[#This Row],[NOTE]]&amp;"'),"</f>
        <v>('DIR1.15','Komisaris Independen','Board of Directors'),</v>
      </c>
    </row>
    <row r="21" spans="2:5" x14ac:dyDescent="0.25">
      <c r="B21" s="4" t="s">
        <v>123</v>
      </c>
      <c r="C21" s="1" t="s">
        <v>104</v>
      </c>
      <c r="D21" s="1" t="s">
        <v>32</v>
      </c>
      <c r="E21" s="7" t="str">
        <f>"('"&amp;DIRECTORATE[[#This Row],[ID_DIR]]&amp;"','"&amp;
DIRECTORATE[[#This Row],[DIRECTORATE]]&amp;"','"&amp;
DIRECTORATE[[#This Row],[NOTE]]&amp;"'),"</f>
        <v>('DIR1.16','Direktur Finance Accounting','Board of Directors'),</v>
      </c>
    </row>
    <row r="22" spans="2:5" x14ac:dyDescent="0.25">
      <c r="B22" s="4" t="s">
        <v>124</v>
      </c>
      <c r="C22" s="1" t="s">
        <v>105</v>
      </c>
      <c r="D22" s="1" t="s">
        <v>32</v>
      </c>
      <c r="E22" s="7" t="str">
        <f>"('"&amp;DIRECTORATE[[#This Row],[ID_DIR]]&amp;"','"&amp;
DIRECTORATE[[#This Row],[DIRECTORATE]]&amp;"','"&amp;
DIRECTORATE[[#This Row],[NOTE]]&amp;"'),"</f>
        <v>('DIR1.17','Direktur Human Capital','Board of Directors'),</v>
      </c>
    </row>
    <row r="23" spans="2:5" x14ac:dyDescent="0.25">
      <c r="B23" s="4" t="s">
        <v>125</v>
      </c>
      <c r="C23" s="1" t="s">
        <v>106</v>
      </c>
      <c r="D23" s="1" t="s">
        <v>32</v>
      </c>
      <c r="E23" s="7" t="str">
        <f>"('"&amp;DIRECTORATE[[#This Row],[ID_DIR]]&amp;"','"&amp;
DIRECTORATE[[#This Row],[DIRECTORATE]]&amp;"','"&amp;
DIRECTORATE[[#This Row],[NOTE]]&amp;"'),"</f>
        <v>('DIR1.18','Direktur Engineering','Board of Directors'),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6716-EA5A-46D8-94E5-A7B1FABB487F}">
  <sheetPr codeName="Sheet4"/>
  <dimension ref="B4:E16"/>
  <sheetViews>
    <sheetView workbookViewId="0">
      <selection activeCell="B9" sqref="B9"/>
    </sheetView>
  </sheetViews>
  <sheetFormatPr defaultRowHeight="15" x14ac:dyDescent="0.25"/>
  <cols>
    <col min="2" max="2" width="10.5703125" style="2" customWidth="1"/>
    <col min="3" max="3" width="29" bestFit="1" customWidth="1"/>
    <col min="4" max="4" width="19.28515625" bestFit="1" customWidth="1"/>
    <col min="5" max="5" width="59.85546875" bestFit="1" customWidth="1"/>
  </cols>
  <sheetData>
    <row r="4" spans="2:5" x14ac:dyDescent="0.25">
      <c r="B4" s="3" t="s">
        <v>311</v>
      </c>
      <c r="C4" s="3" t="s">
        <v>3</v>
      </c>
      <c r="D4" s="3" t="s">
        <v>53</v>
      </c>
      <c r="E4" s="3" t="s">
        <v>302</v>
      </c>
    </row>
    <row r="5" spans="2:5" x14ac:dyDescent="0.25">
      <c r="B5" s="5" t="s">
        <v>138</v>
      </c>
      <c r="C5" s="6" t="s">
        <v>273</v>
      </c>
      <c r="D5" s="6" t="s">
        <v>273</v>
      </c>
      <c r="E5" s="7" t="str">
        <f>"('"&amp;DIVISION[[#This Row],[ID_DIV]]&amp;"','"&amp;DIVISION[[#This Row],[DIVISION]]&amp;"','"&amp;DIVISION[[#This Row],[NOTE]]&amp;"'),"</f>
        <v>('DIV0.00','EMPTY','EMPTY'),</v>
      </c>
    </row>
    <row r="6" spans="2:5" x14ac:dyDescent="0.25">
      <c r="B6" s="4" t="s">
        <v>139</v>
      </c>
      <c r="C6" s="1" t="s">
        <v>127</v>
      </c>
      <c r="D6" s="1" t="s">
        <v>31</v>
      </c>
      <c r="E6" s="7" t="str">
        <f>"('"&amp;DIVISION[[#This Row],[ID_DIV]]&amp;"','"&amp;DIVISION[[#This Row],[DIVISION]]&amp;"','"&amp;DIVISION[[#This Row],[NOTE]]&amp;"'),"</f>
        <v>('DIV0.01','Information Technology','Level C-Suite'),</v>
      </c>
    </row>
    <row r="7" spans="2:5" x14ac:dyDescent="0.25">
      <c r="B7" s="4" t="s">
        <v>140</v>
      </c>
      <c r="C7" s="1" t="s">
        <v>129</v>
      </c>
      <c r="D7" s="1" t="s">
        <v>31</v>
      </c>
      <c r="E7" s="7" t="str">
        <f>"('"&amp;DIVISION[[#This Row],[ID_DIV]]&amp;"','"&amp;DIVISION[[#This Row],[DIVISION]]&amp;"','"&amp;DIVISION[[#This Row],[NOTE]]&amp;"'),"</f>
        <v>('DIV0.02','Finance &amp; Accounting','Level C-Suite'),</v>
      </c>
    </row>
    <row r="8" spans="2:5" x14ac:dyDescent="0.25">
      <c r="B8" s="4" t="s">
        <v>141</v>
      </c>
      <c r="C8" s="1" t="s">
        <v>162</v>
      </c>
      <c r="D8" s="1" t="s">
        <v>31</v>
      </c>
      <c r="E8" s="7" t="str">
        <f>"('"&amp;DIVISION[[#This Row],[ID_DIV]]&amp;"','"&amp;DIVISION[[#This Row],[DIVISION]]&amp;"','"&amp;DIVISION[[#This Row],[NOTE]]&amp;"'),"</f>
        <v>('DIV0.03','Corporate consolidation, Reporting &amp; Analisis','Level C-Suite'),</v>
      </c>
    </row>
    <row r="9" spans="2:5" x14ac:dyDescent="0.25">
      <c r="B9" s="4" t="s">
        <v>142</v>
      </c>
      <c r="C9" s="1" t="s">
        <v>179</v>
      </c>
      <c r="D9" s="1" t="s">
        <v>31</v>
      </c>
      <c r="E9" s="7" t="str">
        <f>"('"&amp;DIVISION[[#This Row],[ID_DIV]]&amp;"','"&amp;DIVISION[[#This Row],[DIVISION]]&amp;"','"&amp;DIVISION[[#This Row],[NOTE]]&amp;"'),"</f>
        <v>('DIV0.04','Human Resource &amp; Development','Level C-Suite'),</v>
      </c>
    </row>
    <row r="10" spans="2:5" x14ac:dyDescent="0.25">
      <c r="B10" s="4" t="s">
        <v>143</v>
      </c>
      <c r="C10" s="1" t="s">
        <v>132</v>
      </c>
      <c r="D10" s="1" t="s">
        <v>31</v>
      </c>
      <c r="E10" s="7" t="str">
        <f>"('"&amp;DIVISION[[#This Row],[ID_DIV]]&amp;"','"&amp;DIVISION[[#This Row],[DIVISION]]&amp;"','"&amp;DIVISION[[#This Row],[NOTE]]&amp;"'),"</f>
        <v>('DIV0.05','Operation','Level C-Suite'),</v>
      </c>
    </row>
    <row r="11" spans="2:5" x14ac:dyDescent="0.25">
      <c r="B11" s="4" t="s">
        <v>144</v>
      </c>
      <c r="C11" s="1"/>
      <c r="D11" s="1" t="s">
        <v>31</v>
      </c>
      <c r="E11" s="7" t="str">
        <f>"('"&amp;DIVISION[[#This Row],[ID_DIV]]&amp;"','"&amp;DIVISION[[#This Row],[DIVISION]]&amp;"','"&amp;DIVISION[[#This Row],[NOTE]]&amp;"'),"</f>
        <v>('DIV0.06','','Level C-Suite'),</v>
      </c>
    </row>
    <row r="12" spans="2:5" x14ac:dyDescent="0.25">
      <c r="B12" s="4" t="s">
        <v>145</v>
      </c>
      <c r="C12" s="1" t="s">
        <v>133</v>
      </c>
      <c r="D12" s="1" t="s">
        <v>31</v>
      </c>
      <c r="E12" s="7" t="str">
        <f>"('"&amp;DIVISION[[#This Row],[ID_DIV]]&amp;"','"&amp;DIVISION[[#This Row],[DIVISION]]&amp;"','"&amp;DIVISION[[#This Row],[NOTE]]&amp;"'),"</f>
        <v>('DIV0.07','Engineering','Level C-Suite'),</v>
      </c>
    </row>
    <row r="13" spans="2:5" x14ac:dyDescent="0.25">
      <c r="B13" s="4" t="s">
        <v>146</v>
      </c>
      <c r="C13" s="1" t="s">
        <v>134</v>
      </c>
      <c r="D13" s="1" t="s">
        <v>31</v>
      </c>
      <c r="E13" s="7" t="str">
        <f>"('"&amp;DIVISION[[#This Row],[ID_DIV]]&amp;"','"&amp;DIVISION[[#This Row],[DIVISION]]&amp;"','"&amp;DIVISION[[#This Row],[NOTE]]&amp;"'),"</f>
        <v>('DIV0.08','Marketing &amp; Commercial','Level C-Suite'),</v>
      </c>
    </row>
    <row r="14" spans="2:5" x14ac:dyDescent="0.25">
      <c r="B14" s="4" t="s">
        <v>147</v>
      </c>
      <c r="C14" s="1" t="s">
        <v>135</v>
      </c>
      <c r="D14" s="1" t="s">
        <v>31</v>
      </c>
      <c r="E14" s="7" t="str">
        <f>"('"&amp;DIVISION[[#This Row],[ID_DIV]]&amp;"','"&amp;DIVISION[[#This Row],[DIVISION]]&amp;"','"&amp;DIVISION[[#This Row],[NOTE]]&amp;"'),"</f>
        <v>('DIV0.09','Legal &amp; Government Relation','Level C-Suite'),</v>
      </c>
    </row>
    <row r="15" spans="2:5" x14ac:dyDescent="0.25">
      <c r="B15" s="4" t="s">
        <v>148</v>
      </c>
      <c r="C15" s="1" t="s">
        <v>136</v>
      </c>
      <c r="D15" s="1" t="s">
        <v>31</v>
      </c>
      <c r="E15" s="7" t="str">
        <f>"('"&amp;DIVISION[[#This Row],[ID_DIV]]&amp;"','"&amp;DIVISION[[#This Row],[DIVISION]]&amp;"','"&amp;DIVISION[[#This Row],[NOTE]]&amp;"'),"</f>
        <v>('DIV0.10','Leasing','Level C-Suite'),</v>
      </c>
    </row>
    <row r="16" spans="2:5" x14ac:dyDescent="0.25">
      <c r="B16" s="4" t="s">
        <v>149</v>
      </c>
      <c r="C16" s="1" t="s">
        <v>137</v>
      </c>
      <c r="D16" s="1" t="s">
        <v>31</v>
      </c>
      <c r="E16" s="7" t="str">
        <f>"('"&amp;DIVISION[[#This Row],[ID_DIV]]&amp;"','"&amp;DIVISION[[#This Row],[DIVISION]]&amp;"','"&amp;DIVISION[[#This Row],[NOTE]]&amp;"'),"</f>
        <v>('DIV0.11','Property Office Management','Level C-Suite'),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42C4-ED96-4793-A885-F7E4E97C2EFC}">
  <sheetPr codeName="Sheet5"/>
  <dimension ref="B4:E24"/>
  <sheetViews>
    <sheetView zoomScale="85" zoomScaleNormal="85" workbookViewId="0">
      <selection activeCell="A5" sqref="A5"/>
    </sheetView>
  </sheetViews>
  <sheetFormatPr defaultRowHeight="15" x14ac:dyDescent="0.25"/>
  <cols>
    <col min="2" max="2" width="10.5703125" style="2" customWidth="1"/>
    <col min="3" max="3" width="35.5703125" bestFit="1" customWidth="1"/>
    <col min="4" max="4" width="10.42578125" bestFit="1" customWidth="1"/>
    <col min="5" max="5" width="47.42578125" bestFit="1" customWidth="1"/>
  </cols>
  <sheetData>
    <row r="4" spans="2:5" x14ac:dyDescent="0.25">
      <c r="B4" s="3" t="s">
        <v>313</v>
      </c>
      <c r="C4" s="3" t="s">
        <v>4</v>
      </c>
      <c r="D4" s="3" t="s">
        <v>53</v>
      </c>
      <c r="E4" s="3" t="s">
        <v>302</v>
      </c>
    </row>
    <row r="5" spans="2:5" x14ac:dyDescent="0.25">
      <c r="B5" s="5" t="s">
        <v>261</v>
      </c>
      <c r="C5" s="6" t="s">
        <v>273</v>
      </c>
      <c r="D5" s="6" t="s">
        <v>273</v>
      </c>
      <c r="E5" s="7" t="str">
        <f>"('"&amp;DIVISION5[[#This Row],[ID_DPT1]]&amp;"','"&amp;DIVISION5[[#This Row],[DEPARTEMENT]]&amp;"','"&amp;DIVISION5[[#This Row],[NOTE]]&amp;"'),"</f>
        <v>('DPT0.00','EMPTY','EMPTY'),</v>
      </c>
    </row>
    <row r="6" spans="2:5" x14ac:dyDescent="0.25">
      <c r="B6" s="4" t="s">
        <v>262</v>
      </c>
      <c r="C6" s="1" t="s">
        <v>155</v>
      </c>
      <c r="D6" s="1"/>
      <c r="E6" s="7" t="str">
        <f>"('"&amp;DIVISION5[[#This Row],[ID_DPT1]]&amp;"','"&amp;DIVISION5[[#This Row],[DEPARTEMENT]]&amp;"','"&amp;DIVISION5[[#This Row],[NOTE]]&amp;"'),"</f>
        <v>('DPT0.01','IT Application',''),</v>
      </c>
    </row>
    <row r="7" spans="2:5" x14ac:dyDescent="0.25">
      <c r="B7" s="4" t="s">
        <v>263</v>
      </c>
      <c r="C7" s="1" t="s">
        <v>156</v>
      </c>
      <c r="D7" s="1"/>
      <c r="E7" s="7" t="str">
        <f>"('"&amp;DIVISION5[[#This Row],[ID_DPT1]]&amp;"','"&amp;DIVISION5[[#This Row],[DEPARTEMENT]]&amp;"','"&amp;DIVISION5[[#This Row],[NOTE]]&amp;"'),"</f>
        <v>('DPT0.02','IT Infrastructure',''),</v>
      </c>
    </row>
    <row r="8" spans="2:5" x14ac:dyDescent="0.25">
      <c r="B8" s="4" t="s">
        <v>264</v>
      </c>
      <c r="C8" s="1" t="s">
        <v>157</v>
      </c>
      <c r="D8" s="1"/>
      <c r="E8" s="7" t="str">
        <f>"('"&amp;DIVISION5[[#This Row],[ID_DPT1]]&amp;"','"&amp;DIVISION5[[#This Row],[DEPARTEMENT]]&amp;"','"&amp;DIVISION5[[#This Row],[NOTE]]&amp;"'),"</f>
        <v>('DPT0.03','IT Operation &amp; Project',''),</v>
      </c>
    </row>
    <row r="9" spans="2:5" x14ac:dyDescent="0.25">
      <c r="B9" s="4" t="s">
        <v>265</v>
      </c>
      <c r="C9" s="1" t="s">
        <v>160</v>
      </c>
      <c r="D9" s="1"/>
      <c r="E9" s="7" t="str">
        <f>"('"&amp;DIVISION5[[#This Row],[ID_DPT1]]&amp;"','"&amp;DIVISION5[[#This Row],[DEPARTEMENT]]&amp;"','"&amp;DIVISION5[[#This Row],[NOTE]]&amp;"'),"</f>
        <v>('DPT0.04','IT Security &amp; Complience',''),</v>
      </c>
    </row>
    <row r="10" spans="2:5" x14ac:dyDescent="0.25">
      <c r="B10" s="4" t="s">
        <v>266</v>
      </c>
      <c r="C10" s="1" t="s">
        <v>177</v>
      </c>
      <c r="D10" s="1"/>
      <c r="E10" s="7" t="str">
        <f>"('"&amp;DIVISION5[[#This Row],[ID_DPT1]]&amp;"','"&amp;DIVISION5[[#This Row],[DEPARTEMENT]]&amp;"','"&amp;DIVISION5[[#This Row],[NOTE]]&amp;"'),"</f>
        <v>('DPT0.05','Account Payable &amp; Cashier',''),</v>
      </c>
    </row>
    <row r="11" spans="2:5" x14ac:dyDescent="0.25">
      <c r="B11" s="4" t="s">
        <v>267</v>
      </c>
      <c r="C11" s="1" t="s">
        <v>174</v>
      </c>
      <c r="D11" s="1"/>
      <c r="E11" s="7" t="str">
        <f>"('"&amp;DIVISION5[[#This Row],[ID_DPT1]]&amp;"','"&amp;DIVISION5[[#This Row],[DEPARTEMENT]]&amp;"','"&amp;DIVISION5[[#This Row],[NOTE]]&amp;"'),"</f>
        <v>('DPT0.06','Accounting &amp; Account Raceivable',''),</v>
      </c>
    </row>
    <row r="12" spans="2:5" x14ac:dyDescent="0.25">
      <c r="B12" s="4" t="s">
        <v>268</v>
      </c>
      <c r="C12" s="1" t="s">
        <v>172</v>
      </c>
      <c r="D12" s="1"/>
      <c r="E12" s="7" t="str">
        <f>"('"&amp;DIVISION5[[#This Row],[ID_DPT1]]&amp;"','"&amp;DIVISION5[[#This Row],[DEPARTEMENT]]&amp;"','"&amp;DIVISION5[[#This Row],[NOTE]]&amp;"'),"</f>
        <v>('DPT0.07','Asset Management &amp; Controller',''),</v>
      </c>
    </row>
    <row r="13" spans="2:5" x14ac:dyDescent="0.25">
      <c r="B13" s="4" t="s">
        <v>269</v>
      </c>
      <c r="C13" s="1" t="s">
        <v>169</v>
      </c>
      <c r="D13" s="1"/>
      <c r="E13" s="7" t="str">
        <f>"('"&amp;DIVISION5[[#This Row],[ID_DPT1]]&amp;"','"&amp;DIVISION5[[#This Row],[DEPARTEMENT]]&amp;"','"&amp;DIVISION5[[#This Row],[NOTE]]&amp;"'),"</f>
        <v>('DPT0.08','Collection',''),</v>
      </c>
    </row>
    <row r="14" spans="2:5" x14ac:dyDescent="0.25">
      <c r="B14" s="4" t="s">
        <v>270</v>
      </c>
      <c r="C14" s="1" t="s">
        <v>167</v>
      </c>
      <c r="D14" s="1"/>
      <c r="E14" s="7" t="str">
        <f>"('"&amp;DIVISION5[[#This Row],[ID_DPT1]]&amp;"','"&amp;DIVISION5[[#This Row],[DEPARTEMENT]]&amp;"','"&amp;DIVISION5[[#This Row],[NOTE]]&amp;"'),"</f>
        <v>('DPT0.09','Corporate Finance',''),</v>
      </c>
    </row>
    <row r="15" spans="2:5" x14ac:dyDescent="0.25">
      <c r="B15" s="4" t="s">
        <v>271</v>
      </c>
      <c r="C15" s="1" t="s">
        <v>170</v>
      </c>
      <c r="D15" s="1"/>
      <c r="E15" s="7" t="str">
        <f>"('"&amp;DIVISION5[[#This Row],[ID_DPT1]]&amp;"','"&amp;DIVISION5[[#This Row],[DEPARTEMENT]]&amp;"','"&amp;DIVISION5[[#This Row],[NOTE]]&amp;"'),"</f>
        <v>('DPT0.10','Tax',''),</v>
      </c>
    </row>
    <row r="16" spans="2:5" x14ac:dyDescent="0.25">
      <c r="B16" s="4" t="s">
        <v>272</v>
      </c>
      <c r="C16" s="1" t="s">
        <v>178</v>
      </c>
      <c r="D16" s="1"/>
      <c r="E16" s="7" t="str">
        <f>"('"&amp;DIVISION5[[#This Row],[ID_DPT1]]&amp;"','"&amp;DIVISION5[[#This Row],[DEPARTEMENT]]&amp;"','"&amp;DIVISION5[[#This Row],[NOTE]]&amp;"'),"</f>
        <v>('DPT0.11','Procurement &amp; Purchasing',''),</v>
      </c>
    </row>
    <row r="17" spans="2:5" x14ac:dyDescent="0.25">
      <c r="B17" s="4" t="s">
        <v>681</v>
      </c>
      <c r="C17" s="1" t="s">
        <v>164</v>
      </c>
      <c r="D17" s="1"/>
      <c r="E17" s="7" t="str">
        <f>"('"&amp;DIVISION5[[#This Row],[ID_DPT1]]&amp;"','"&amp;DIVISION5[[#This Row],[DEPARTEMENT]]&amp;"','"&amp;DIVISION5[[#This Row],[NOTE]]&amp;"'),"</f>
        <v>('DPT0.12','Research &amp; Development',''),</v>
      </c>
    </row>
    <row r="18" spans="2:5" x14ac:dyDescent="0.25">
      <c r="B18" s="4" t="s">
        <v>682</v>
      </c>
      <c r="C18" s="1" t="s">
        <v>180</v>
      </c>
      <c r="D18" s="1"/>
      <c r="E18" s="7" t="str">
        <f>"('"&amp;DIVISION5[[#This Row],[ID_DPT1]]&amp;"','"&amp;DIVISION5[[#This Row],[DEPARTEMENT]]&amp;"','"&amp;DIVISION5[[#This Row],[NOTE]]&amp;"'),"</f>
        <v>('DPT0.13','Talent Acquisition',''),</v>
      </c>
    </row>
    <row r="19" spans="2:5" x14ac:dyDescent="0.25">
      <c r="B19" s="4" t="s">
        <v>683</v>
      </c>
      <c r="C19" s="1" t="s">
        <v>181</v>
      </c>
      <c r="D19" s="1"/>
      <c r="E19" s="7" t="str">
        <f>"('"&amp;DIVISION5[[#This Row],[ID_DPT1]]&amp;"','"&amp;DIVISION5[[#This Row],[DEPARTEMENT]]&amp;"','"&amp;DIVISION5[[#This Row],[NOTE]]&amp;"'),"</f>
        <v>('DPT0.14','Compensation &amp; Benefit',''),</v>
      </c>
    </row>
    <row r="20" spans="2:5" x14ac:dyDescent="0.25">
      <c r="B20" s="4" t="s">
        <v>684</v>
      </c>
      <c r="C20" s="1" t="s">
        <v>131</v>
      </c>
      <c r="D20" s="1"/>
      <c r="E20" s="7" t="str">
        <f>"('"&amp;DIVISION5[[#This Row],[ID_DPT1]]&amp;"','"&amp;DIVISION5[[#This Row],[DEPARTEMENT]]&amp;"','"&amp;DIVISION5[[#This Row],[NOTE]]&amp;"'),"</f>
        <v>('DPT0.15','ISO',''),</v>
      </c>
    </row>
    <row r="21" spans="2:5" x14ac:dyDescent="0.25">
      <c r="B21" s="4" t="s">
        <v>685</v>
      </c>
      <c r="C21" s="1" t="s">
        <v>183</v>
      </c>
      <c r="D21" s="1"/>
      <c r="E21" s="7" t="str">
        <f>"('"&amp;DIVISION5[[#This Row],[ID_DPT1]]&amp;"','"&amp;DIVISION5[[#This Row],[DEPARTEMENT]]&amp;"','"&amp;DIVISION5[[#This Row],[NOTE]]&amp;"'),"</f>
        <v>('DPT0.16','People Development &amp; Career Management',''),</v>
      </c>
    </row>
    <row r="22" spans="2:5" x14ac:dyDescent="0.25">
      <c r="B22" s="4" t="s">
        <v>686</v>
      </c>
      <c r="C22" s="1" t="s">
        <v>188</v>
      </c>
      <c r="D22" s="1"/>
      <c r="E22" s="7" t="str">
        <f>"('"&amp;DIVISION5[[#This Row],[ID_DPT1]]&amp;"','"&amp;DIVISION5[[#This Row],[DEPARTEMENT]]&amp;"','"&amp;DIVISION5[[#This Row],[NOTE]]&amp;"'),"</f>
        <v>('DPT0.17','GA Operation',''),</v>
      </c>
    </row>
    <row r="23" spans="2:5" x14ac:dyDescent="0.25">
      <c r="B23" s="4" t="s">
        <v>687</v>
      </c>
      <c r="C23" s="1" t="s">
        <v>189</v>
      </c>
      <c r="D23" s="1"/>
      <c r="E23" s="7" t="str">
        <f>"('"&amp;DIVISION5[[#This Row],[ID_DPT1]]&amp;"','"&amp;DIVISION5[[#This Row],[DEPARTEMENT]]&amp;"','"&amp;DIVISION5[[#This Row],[NOTE]]&amp;"'),"</f>
        <v>('DPT0.18','Contract &amp; Payment Control',''),</v>
      </c>
    </row>
    <row r="24" spans="2:5" x14ac:dyDescent="0.25">
      <c r="B24" s="4" t="s">
        <v>688</v>
      </c>
      <c r="C24" s="1" t="s">
        <v>190</v>
      </c>
      <c r="D24" s="1"/>
      <c r="E24" s="7" t="str">
        <f>"('"&amp;DIVISION5[[#This Row],[ID_DPT1]]&amp;"','"&amp;DIVISION5[[#This Row],[DEPARTEMENT]]&amp;"','"&amp;DIVISION5[[#This Row],[NOTE]]&amp;"'),"</f>
        <v>('DPT0.19','Business Partner',''),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A2A5-3E5D-442B-A152-9EF77F7F593B}">
  <sheetPr codeName="Sheet6"/>
  <dimension ref="A4:I59"/>
  <sheetViews>
    <sheetView topLeftCell="A9" zoomScale="85" zoomScaleNormal="85" workbookViewId="0">
      <selection activeCell="A29" sqref="A29"/>
    </sheetView>
  </sheetViews>
  <sheetFormatPr defaultRowHeight="15" x14ac:dyDescent="0.25"/>
  <cols>
    <col min="1" max="1" width="4.7109375" style="2" customWidth="1"/>
    <col min="2" max="2" width="10.5703125" style="2" customWidth="1"/>
    <col min="3" max="3" width="38.28515625" bestFit="1" customWidth="1"/>
    <col min="4" max="4" width="27.7109375" bestFit="1" customWidth="1"/>
    <col min="5" max="5" width="38.28515625" bestFit="1" customWidth="1"/>
    <col min="6" max="6" width="25.85546875" bestFit="1" customWidth="1"/>
    <col min="7" max="7" width="26.42578125" bestFit="1" customWidth="1"/>
    <col min="8" max="8" width="140.85546875" bestFit="1" customWidth="1"/>
    <col min="9" max="9" width="187.28515625" bestFit="1" customWidth="1"/>
  </cols>
  <sheetData>
    <row r="4" spans="1:9" x14ac:dyDescent="0.25">
      <c r="B4" s="3" t="s">
        <v>54</v>
      </c>
      <c r="C4" s="3" t="s">
        <v>150</v>
      </c>
      <c r="D4" s="3" t="s">
        <v>4</v>
      </c>
      <c r="E4" s="3" t="s">
        <v>3</v>
      </c>
      <c r="F4" s="3" t="s">
        <v>103</v>
      </c>
      <c r="G4" s="3" t="s">
        <v>158</v>
      </c>
      <c r="H4" s="3" t="s">
        <v>53</v>
      </c>
      <c r="I4" s="3" t="s">
        <v>302</v>
      </c>
    </row>
    <row r="5" spans="1:9" x14ac:dyDescent="0.25">
      <c r="A5" s="2" t="s">
        <v>680</v>
      </c>
      <c r="B5" s="5" t="s">
        <v>208</v>
      </c>
      <c r="C5" s="6" t="s">
        <v>273</v>
      </c>
      <c r="D5" s="6" t="s">
        <v>273</v>
      </c>
      <c r="E5" s="6" t="s">
        <v>273</v>
      </c>
      <c r="F5" s="6" t="s">
        <v>273</v>
      </c>
      <c r="G5" s="6" t="s">
        <v>273</v>
      </c>
      <c r="H5" s="6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:/EMPTY/EMPTY/EMPTY/EMPTY</v>
      </c>
      <c r="I5" s="7" t="str">
        <f>"('"&amp;DIVISION56[[#This Row],[ID.LEVEL]]&amp;"','"&amp;DIVISION56[[#This Row],[SUB-DEPARTEMENT]]&amp;"','"&amp;DIVISION56[[#This Row],[NOTE]]&amp;"'),"</f>
        <v>('SDP0.00','EMPTY','SUB Low Level of Structure :/EMPTY/EMPTY/EMPTY/EMPTY'),</v>
      </c>
    </row>
    <row r="6" spans="1:9" x14ac:dyDescent="0.25">
      <c r="A6" s="2" t="s">
        <v>680</v>
      </c>
      <c r="B6" s="5" t="s">
        <v>300</v>
      </c>
      <c r="C6" s="6" t="s">
        <v>299</v>
      </c>
      <c r="D6" s="6" t="s">
        <v>273</v>
      </c>
      <c r="E6" s="6" t="s">
        <v>273</v>
      </c>
      <c r="F6" s="6" t="s">
        <v>273</v>
      </c>
      <c r="G6" s="6" t="s">
        <v>273</v>
      </c>
      <c r="H6" s="6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:/EMPTY/EMPTY/EMPTY/Admin</v>
      </c>
      <c r="I6" s="7" t="str">
        <f>"('"&amp;DIVISION56[[#This Row],[ID.LEVEL]]&amp;"','"&amp;DIVISION56[[#This Row],[SUB-DEPARTEMENT]]&amp;"','"&amp;DIVISION56[[#This Row],[NOTE]]&amp;"'),"</f>
        <v>('SDP0.01','Admin','SUB Low Level of Structure :/EMPTY/EMPTY/EMPTY/Admin'),</v>
      </c>
    </row>
    <row r="7" spans="1:9" x14ac:dyDescent="0.25">
      <c r="A7" s="2" t="s">
        <v>680</v>
      </c>
      <c r="B7" s="4" t="s">
        <v>209</v>
      </c>
      <c r="C7" s="1" t="s">
        <v>155</v>
      </c>
      <c r="D7" s="1" t="s">
        <v>155</v>
      </c>
      <c r="E7" s="1" t="s">
        <v>127</v>
      </c>
      <c r="F7" s="7" t="s">
        <v>23</v>
      </c>
      <c r="G7" s="7" t="s">
        <v>20</v>
      </c>
      <c r="H7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:/Chief Executive Officer/Information Technology/IT Application/IT Application</v>
      </c>
      <c r="I7" s="7" t="str">
        <f>"('"&amp;DIVISION56[[#This Row],[ID.LEVEL]]&amp;"','"&amp;DIVISION56[[#This Row],[SUB-DEPARTEMENT]]&amp;"','"&amp;DIVISION56[[#This Row],[NOTE]]&amp;"'),"</f>
        <v>('SDP1.01','IT Application','SUB Low Level of Structure :/Chief Executive Officer/Information Technology/IT Application/IT Application'),</v>
      </c>
    </row>
    <row r="8" spans="1:9" x14ac:dyDescent="0.25">
      <c r="A8" s="2" t="s">
        <v>680</v>
      </c>
      <c r="B8" s="4" t="s">
        <v>210</v>
      </c>
      <c r="C8" s="1" t="s">
        <v>151</v>
      </c>
      <c r="D8" s="1" t="s">
        <v>156</v>
      </c>
      <c r="E8" s="1" t="s">
        <v>127</v>
      </c>
      <c r="F8" s="7" t="s">
        <v>23</v>
      </c>
      <c r="G8" s="7" t="s">
        <v>20</v>
      </c>
      <c r="H8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:/Chief Executive Officer/Information Technology/IT Infrastructure/IT Network</v>
      </c>
      <c r="I8" s="7" t="str">
        <f>"('"&amp;DIVISION56[[#This Row],[ID.LEVEL]]&amp;"','"&amp;DIVISION56[[#This Row],[SUB-DEPARTEMENT]]&amp;"','"&amp;DIVISION56[[#This Row],[NOTE]]&amp;"'),"</f>
        <v>('SDP1.02','IT Network','SUB Low Level of Structure :/Chief Executive Officer/Information Technology/IT Infrastructure/IT Network'),</v>
      </c>
    </row>
    <row r="9" spans="1:9" x14ac:dyDescent="0.25">
      <c r="A9" s="2" t="s">
        <v>680</v>
      </c>
      <c r="B9" s="4" t="s">
        <v>211</v>
      </c>
      <c r="C9" s="1" t="s">
        <v>152</v>
      </c>
      <c r="D9" s="1" t="s">
        <v>156</v>
      </c>
      <c r="E9" s="1" t="s">
        <v>127</v>
      </c>
      <c r="F9" s="7" t="s">
        <v>23</v>
      </c>
      <c r="G9" s="7" t="s">
        <v>20</v>
      </c>
      <c r="H9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:/Chief Executive Officer/Information Technology/IT Infrastructure/IT Server</v>
      </c>
      <c r="I9" s="7" t="str">
        <f>"('"&amp;DIVISION56[[#This Row],[ID.LEVEL]]&amp;"','"&amp;DIVISION56[[#This Row],[SUB-DEPARTEMENT]]&amp;"','"&amp;DIVISION56[[#This Row],[NOTE]]&amp;"'),"</f>
        <v>('SDP1.03','IT Server','SUB Low Level of Structure :/Chief Executive Officer/Information Technology/IT Infrastructure/IT Server'),</v>
      </c>
    </row>
    <row r="10" spans="1:9" x14ac:dyDescent="0.25">
      <c r="A10" s="2" t="s">
        <v>680</v>
      </c>
      <c r="B10" s="4" t="s">
        <v>212</v>
      </c>
      <c r="C10" s="1" t="s">
        <v>153</v>
      </c>
      <c r="D10" s="1" t="s">
        <v>157</v>
      </c>
      <c r="E10" s="1" t="s">
        <v>127</v>
      </c>
      <c r="F10" s="7" t="s">
        <v>23</v>
      </c>
      <c r="G10" s="7" t="s">
        <v>20</v>
      </c>
      <c r="H10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:/Chief Executive Officer/Information Technology/IT Operation &amp; Project/IT Project</v>
      </c>
      <c r="I10" s="7" t="str">
        <f>"('"&amp;DIVISION56[[#This Row],[ID.LEVEL]]&amp;"','"&amp;DIVISION56[[#This Row],[SUB-DEPARTEMENT]]&amp;"','"&amp;DIVISION56[[#This Row],[NOTE]]&amp;"'),"</f>
        <v>('SDP1.04','IT Project','SUB Low Level of Structure :/Chief Executive Officer/Information Technology/IT Operation &amp; Project/IT Project'),</v>
      </c>
    </row>
    <row r="11" spans="1:9" x14ac:dyDescent="0.25">
      <c r="A11" s="2" t="s">
        <v>680</v>
      </c>
      <c r="B11" s="4" t="s">
        <v>213</v>
      </c>
      <c r="C11" s="1" t="s">
        <v>154</v>
      </c>
      <c r="D11" s="1" t="s">
        <v>157</v>
      </c>
      <c r="E11" s="1" t="s">
        <v>127</v>
      </c>
      <c r="F11" s="7" t="s">
        <v>23</v>
      </c>
      <c r="G11" s="7" t="s">
        <v>20</v>
      </c>
      <c r="H11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:/Chief Executive Officer/Information Technology/IT Operation &amp; Project/IT Operation</v>
      </c>
      <c r="I11" s="7" t="str">
        <f>"('"&amp;DIVISION56[[#This Row],[ID.LEVEL]]&amp;"','"&amp;DIVISION56[[#This Row],[SUB-DEPARTEMENT]]&amp;"','"&amp;DIVISION56[[#This Row],[NOTE]]&amp;"'),"</f>
        <v>('SDP1.05','IT Operation','SUB Low Level of Structure :/Chief Executive Officer/Information Technology/IT Operation &amp; Project/IT Operation'),</v>
      </c>
    </row>
    <row r="12" spans="1:9" x14ac:dyDescent="0.25">
      <c r="A12" s="2" t="s">
        <v>680</v>
      </c>
      <c r="B12" s="4" t="s">
        <v>214</v>
      </c>
      <c r="C12" s="1" t="s">
        <v>161</v>
      </c>
      <c r="D12" s="1" t="s">
        <v>160</v>
      </c>
      <c r="E12" s="1" t="s">
        <v>127</v>
      </c>
      <c r="F12" s="7" t="s">
        <v>23</v>
      </c>
      <c r="G12" s="7" t="s">
        <v>20</v>
      </c>
      <c r="H12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:/Chief Executive Officer/Information Technology/IT Security &amp; Complience/IT Cyber Security</v>
      </c>
      <c r="I12" s="7" t="str">
        <f>"('"&amp;DIVISION56[[#This Row],[ID.LEVEL]]&amp;"','"&amp;DIVISION56[[#This Row],[SUB-DEPARTEMENT]]&amp;"','"&amp;DIVISION56[[#This Row],[NOTE]]&amp;"'),"</f>
        <v>('SDP1.06','IT Cyber Security','SUB Low Level of Structure :/Chief Executive Officer/Information Technology/IT Security &amp; Complience/IT Cyber Security'),</v>
      </c>
    </row>
    <row r="13" spans="1:9" x14ac:dyDescent="0.25">
      <c r="A13" s="2" t="s">
        <v>680</v>
      </c>
      <c r="B13" s="4" t="s">
        <v>215</v>
      </c>
      <c r="C13" s="1" t="s">
        <v>159</v>
      </c>
      <c r="D13" s="1" t="s">
        <v>160</v>
      </c>
      <c r="E13" s="1" t="s">
        <v>127</v>
      </c>
      <c r="F13" s="7" t="s">
        <v>23</v>
      </c>
      <c r="G13" s="7" t="s">
        <v>20</v>
      </c>
      <c r="H13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:/Chief Executive Officer/Information Technology/IT Security &amp; Complience/IT Complience</v>
      </c>
      <c r="I13" s="7" t="str">
        <f>"('"&amp;DIVISION56[[#This Row],[ID.LEVEL]]&amp;"','"&amp;DIVISION56[[#This Row],[SUB-DEPARTEMENT]]&amp;"','"&amp;DIVISION56[[#This Row],[NOTE]]&amp;"'),"</f>
        <v>('SDP1.07','IT Complience','SUB Low Level of Structure :/Chief Executive Officer/Information Technology/IT Security &amp; Complience/IT Complience'),</v>
      </c>
    </row>
    <row r="14" spans="1:9" x14ac:dyDescent="0.25">
      <c r="A14" s="2" t="s">
        <v>680</v>
      </c>
      <c r="B14" s="4" t="s">
        <v>216</v>
      </c>
      <c r="C14" s="1" t="s">
        <v>176</v>
      </c>
      <c r="D14" s="1" t="s">
        <v>177</v>
      </c>
      <c r="E14" s="7" t="s">
        <v>129</v>
      </c>
      <c r="F14" s="7" t="s">
        <v>165</v>
      </c>
      <c r="G14" s="7" t="s">
        <v>104</v>
      </c>
      <c r="H14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Accounting/Account Payable &amp; Cashier/Account Payable</v>
      </c>
      <c r="I14" s="7" t="str">
        <f>"('"&amp;DIVISION56[[#This Row],[ID.LEVEL]]&amp;"','"&amp;DIVISION56[[#This Row],[SUB-DEPARTEMENT]]&amp;"','"&amp;DIVISION56[[#This Row],[NOTE]]&amp;"'),"</f>
        <v>('SDP1.08','Account Payable','SUB Low Level of Structure :/Direktur Finance Accounting/Finance &amp; Accounting/Account Payable &amp; Cashier/Account Payable'),</v>
      </c>
    </row>
    <row r="15" spans="1:9" x14ac:dyDescent="0.25">
      <c r="A15" s="2" t="s">
        <v>680</v>
      </c>
      <c r="B15" s="4" t="s">
        <v>217</v>
      </c>
      <c r="C15" s="1" t="s">
        <v>175</v>
      </c>
      <c r="D15" s="1" t="s">
        <v>174</v>
      </c>
      <c r="E15" s="7" t="s">
        <v>129</v>
      </c>
      <c r="F15" s="7" t="s">
        <v>165</v>
      </c>
      <c r="G15" s="7" t="s">
        <v>104</v>
      </c>
      <c r="H15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Accounting/Accounting &amp; Account Raceivable/Account Raceivable</v>
      </c>
      <c r="I15" s="7" t="str">
        <f>"('"&amp;DIVISION56[[#This Row],[ID.LEVEL]]&amp;"','"&amp;DIVISION56[[#This Row],[SUB-DEPARTEMENT]]&amp;"','"&amp;DIVISION56[[#This Row],[NOTE]]&amp;"'),"</f>
        <v>('SDP1.09','Account Raceivable','SUB Low Level of Structure :/Direktur Finance Accounting/Finance &amp; Accounting/Accounting &amp; Account Raceivable/Account Raceivable'),</v>
      </c>
    </row>
    <row r="16" spans="1:9" x14ac:dyDescent="0.25">
      <c r="A16" s="2" t="s">
        <v>680</v>
      </c>
      <c r="B16" s="4" t="s">
        <v>218</v>
      </c>
      <c r="C16" s="1" t="s">
        <v>171</v>
      </c>
      <c r="D16" s="1" t="s">
        <v>174</v>
      </c>
      <c r="E16" s="7" t="s">
        <v>129</v>
      </c>
      <c r="F16" s="7" t="s">
        <v>165</v>
      </c>
      <c r="G16" s="7" t="s">
        <v>104</v>
      </c>
      <c r="H16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Accounting/Accounting &amp; Account Raceivable/Accounting</v>
      </c>
      <c r="I16" s="7" t="str">
        <f>"('"&amp;DIVISION56[[#This Row],[ID.LEVEL]]&amp;"','"&amp;DIVISION56[[#This Row],[SUB-DEPARTEMENT]]&amp;"','"&amp;DIVISION56[[#This Row],[NOTE]]&amp;"'),"</f>
        <v>('SDP1.10','Accounting','SUB Low Level of Structure :/Direktur Finance Accounting/Finance &amp; Accounting/Accounting &amp; Account Raceivable/Accounting'),</v>
      </c>
    </row>
    <row r="17" spans="1:9" x14ac:dyDescent="0.25">
      <c r="A17" s="2" t="s">
        <v>680</v>
      </c>
      <c r="B17" s="4" t="s">
        <v>219</v>
      </c>
      <c r="C17" s="1" t="s">
        <v>172</v>
      </c>
      <c r="D17" s="1" t="s">
        <v>172</v>
      </c>
      <c r="E17" s="7" t="s">
        <v>129</v>
      </c>
      <c r="F17" s="7" t="s">
        <v>165</v>
      </c>
      <c r="G17" s="7" t="s">
        <v>104</v>
      </c>
      <c r="H17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Accounting/Asset Management &amp; Controller/Asset Management &amp; Controller</v>
      </c>
      <c r="I17" s="7" t="str">
        <f>"('"&amp;DIVISION56[[#This Row],[ID.LEVEL]]&amp;"','"&amp;DIVISION56[[#This Row],[SUB-DEPARTEMENT]]&amp;"','"&amp;DIVISION56[[#This Row],[NOTE]]&amp;"'),"</f>
        <v>('SDP1.11','Asset Management &amp; Controller','SUB Low Level of Structure :/Direktur Finance Accounting/Finance &amp; Accounting/Asset Management &amp; Controller/Asset Management &amp; Controller'),</v>
      </c>
    </row>
    <row r="18" spans="1:9" x14ac:dyDescent="0.25">
      <c r="A18" s="2" t="s">
        <v>680</v>
      </c>
      <c r="B18" s="4" t="s">
        <v>220</v>
      </c>
      <c r="C18" s="1" t="s">
        <v>173</v>
      </c>
      <c r="D18" s="1" t="s">
        <v>177</v>
      </c>
      <c r="E18" s="7" t="s">
        <v>129</v>
      </c>
      <c r="F18" s="7" t="s">
        <v>165</v>
      </c>
      <c r="G18" s="7" t="s">
        <v>104</v>
      </c>
      <c r="H18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Accounting/Account Payable &amp; Cashier/Cashier</v>
      </c>
      <c r="I18" s="7" t="str">
        <f>"('"&amp;DIVISION56[[#This Row],[ID.LEVEL]]&amp;"','"&amp;DIVISION56[[#This Row],[SUB-DEPARTEMENT]]&amp;"','"&amp;DIVISION56[[#This Row],[NOTE]]&amp;"'),"</f>
        <v>('SDP1.12','Cashier','SUB Low Level of Structure :/Direktur Finance Accounting/Finance &amp; Accounting/Account Payable &amp; Cashier/Cashier'),</v>
      </c>
    </row>
    <row r="19" spans="1:9" x14ac:dyDescent="0.25">
      <c r="A19" s="2" t="s">
        <v>680</v>
      </c>
      <c r="B19" s="4" t="s">
        <v>221</v>
      </c>
      <c r="C19" s="1" t="s">
        <v>169</v>
      </c>
      <c r="D19" s="1" t="s">
        <v>169</v>
      </c>
      <c r="E19" s="7" t="s">
        <v>129</v>
      </c>
      <c r="F19" s="7" t="s">
        <v>165</v>
      </c>
      <c r="G19" s="7" t="s">
        <v>104</v>
      </c>
      <c r="H19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Accounting/Collection/Collection</v>
      </c>
      <c r="I19" s="7" t="str">
        <f>"('"&amp;DIVISION56[[#This Row],[ID.LEVEL]]&amp;"','"&amp;DIVISION56[[#This Row],[SUB-DEPARTEMENT]]&amp;"','"&amp;DIVISION56[[#This Row],[NOTE]]&amp;"'),"</f>
        <v>('SDP1.13','Collection','SUB Low Level of Structure :/Direktur Finance Accounting/Finance &amp; Accounting/Collection/Collection'),</v>
      </c>
    </row>
    <row r="20" spans="1:9" x14ac:dyDescent="0.25">
      <c r="A20" s="2" t="s">
        <v>680</v>
      </c>
      <c r="B20" s="4" t="s">
        <v>222</v>
      </c>
      <c r="C20" s="1" t="s">
        <v>168</v>
      </c>
      <c r="D20" s="1" t="s">
        <v>167</v>
      </c>
      <c r="E20" s="1" t="s">
        <v>162</v>
      </c>
      <c r="F20" s="7" t="s">
        <v>165</v>
      </c>
      <c r="G20" s="7" t="s">
        <v>104</v>
      </c>
      <c r="H20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Accounting/Corporate consolidation, Reporting &amp; Analisis/Corporate Finance/Reporting</v>
      </c>
      <c r="I20" s="7" t="str">
        <f>"('"&amp;DIVISION56[[#This Row],[ID.LEVEL]]&amp;"','"&amp;DIVISION56[[#This Row],[SUB-DEPARTEMENT]]&amp;"','"&amp;DIVISION56[[#This Row],[NOTE]]&amp;"'),"</f>
        <v>('SDP1.14','Reporting','SUB Low Level of Structure :/Direktur Finance Accounting/Corporate consolidation, Reporting &amp; Analisis/Corporate Finance/Reporting'),</v>
      </c>
    </row>
    <row r="21" spans="1:9" x14ac:dyDescent="0.25">
      <c r="A21" s="2" t="s">
        <v>680</v>
      </c>
      <c r="B21" s="4" t="s">
        <v>223</v>
      </c>
      <c r="C21" s="1" t="s">
        <v>170</v>
      </c>
      <c r="D21" s="1" t="s">
        <v>170</v>
      </c>
      <c r="E21" s="7" t="s">
        <v>129</v>
      </c>
      <c r="F21" s="7" t="s">
        <v>165</v>
      </c>
      <c r="G21" s="7" t="s">
        <v>104</v>
      </c>
      <c r="H21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Accounting/Tax/Tax</v>
      </c>
      <c r="I21" s="7" t="str">
        <f>"('"&amp;DIVISION56[[#This Row],[ID.LEVEL]]&amp;"','"&amp;DIVISION56[[#This Row],[SUB-DEPARTEMENT]]&amp;"','"&amp;DIVISION56[[#This Row],[NOTE]]&amp;"'),"</f>
        <v>('SDP1.15','Tax','SUB Low Level of Structure :/Direktur Finance Accounting/Finance &amp; Accounting/Tax/Tax'),</v>
      </c>
    </row>
    <row r="22" spans="1:9" x14ac:dyDescent="0.25">
      <c r="A22" s="2" t="s">
        <v>680</v>
      </c>
      <c r="B22" s="4" t="s">
        <v>224</v>
      </c>
      <c r="C22" s="1" t="s">
        <v>163</v>
      </c>
      <c r="D22" s="1" t="s">
        <v>178</v>
      </c>
      <c r="E22" s="7" t="s">
        <v>129</v>
      </c>
      <c r="F22" s="7" t="s">
        <v>165</v>
      </c>
      <c r="G22" s="7" t="s">
        <v>104</v>
      </c>
      <c r="H22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Accounting/Procurement &amp; Purchasing/Procurement</v>
      </c>
      <c r="I22" s="7" t="str">
        <f>"('"&amp;DIVISION56[[#This Row],[ID.LEVEL]]&amp;"','"&amp;DIVISION56[[#This Row],[SUB-DEPARTEMENT]]&amp;"','"&amp;DIVISION56[[#This Row],[NOTE]]&amp;"'),"</f>
        <v>('SDP1.16','Procurement','SUB Low Level of Structure :/Direktur Finance Accounting/Finance &amp; Accounting/Procurement &amp; Purchasing/Procurement'),</v>
      </c>
    </row>
    <row r="23" spans="1:9" x14ac:dyDescent="0.25">
      <c r="A23" s="2" t="s">
        <v>680</v>
      </c>
      <c r="B23" s="4" t="s">
        <v>225</v>
      </c>
      <c r="C23" s="1" t="s">
        <v>166</v>
      </c>
      <c r="D23" s="1" t="s">
        <v>178</v>
      </c>
      <c r="E23" s="7" t="s">
        <v>129</v>
      </c>
      <c r="F23" s="7" t="s">
        <v>165</v>
      </c>
      <c r="G23" s="7" t="s">
        <v>104</v>
      </c>
      <c r="H23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Accounting/Procurement &amp; Purchasing/Purchasing</v>
      </c>
      <c r="I23" s="7" t="str">
        <f>"('"&amp;DIVISION56[[#This Row],[ID.LEVEL]]&amp;"','"&amp;DIVISION56[[#This Row],[SUB-DEPARTEMENT]]&amp;"','"&amp;DIVISION56[[#This Row],[NOTE]]&amp;"'),"</f>
        <v>('SDP1.17','Purchasing','SUB Low Level of Structure :/Direktur Finance Accounting/Finance &amp; Accounting/Procurement &amp; Purchasing/Purchasing'),</v>
      </c>
    </row>
    <row r="24" spans="1:9" x14ac:dyDescent="0.25">
      <c r="A24" s="2" t="s">
        <v>680</v>
      </c>
      <c r="B24" s="4" t="s">
        <v>226</v>
      </c>
      <c r="C24" s="1" t="s">
        <v>164</v>
      </c>
      <c r="D24" s="1" t="s">
        <v>164</v>
      </c>
      <c r="E24" s="7" t="s">
        <v>129</v>
      </c>
      <c r="F24" s="7" t="s">
        <v>165</v>
      </c>
      <c r="G24" s="7" t="s">
        <v>104</v>
      </c>
      <c r="H24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Finance Accounting/Finance &amp; Accounting/Research &amp; Development/Research &amp; Development</v>
      </c>
      <c r="I24" s="7" t="str">
        <f>"('"&amp;DIVISION56[[#This Row],[ID.LEVEL]]&amp;"','"&amp;DIVISION56[[#This Row],[SUB-DEPARTEMENT]]&amp;"','"&amp;DIVISION56[[#This Row],[NOTE]]&amp;"'),"</f>
        <v>('SDP1.18','Research &amp; Development','SUB Low Level of Structure :/Direktur Finance Accounting/Finance &amp; Accounting/Research &amp; Development/Research &amp; Development'),</v>
      </c>
    </row>
    <row r="25" spans="1:9" x14ac:dyDescent="0.25">
      <c r="A25" s="2" t="s">
        <v>680</v>
      </c>
      <c r="B25" s="4" t="s">
        <v>227</v>
      </c>
      <c r="C25" s="1" t="s">
        <v>180</v>
      </c>
      <c r="D25" s="1" t="s">
        <v>180</v>
      </c>
      <c r="E25" s="7" t="s">
        <v>179</v>
      </c>
      <c r="F25" s="7" t="s">
        <v>26</v>
      </c>
      <c r="G25" s="7" t="s">
        <v>105</v>
      </c>
      <c r="H25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Development/Talent Acquisition/Talent Acquisition</v>
      </c>
      <c r="I25" s="7" t="str">
        <f>"('"&amp;DIVISION56[[#This Row],[ID.LEVEL]]&amp;"','"&amp;DIVISION56[[#This Row],[SUB-DEPARTEMENT]]&amp;"','"&amp;DIVISION56[[#This Row],[NOTE]]&amp;"'),"</f>
        <v>('SDP1.19','Talent Acquisition','SUB Low Level of Structure :/Direktur Human Capital/Human Resource &amp; Development/Talent Acquisition/Talent Acquisition'),</v>
      </c>
    </row>
    <row r="26" spans="1:9" x14ac:dyDescent="0.25">
      <c r="A26" s="2" t="s">
        <v>680</v>
      </c>
      <c r="B26" s="4" t="s">
        <v>228</v>
      </c>
      <c r="C26" s="1" t="s">
        <v>181</v>
      </c>
      <c r="D26" s="1" t="s">
        <v>181</v>
      </c>
      <c r="E26" s="7" t="s">
        <v>179</v>
      </c>
      <c r="F26" s="7" t="s">
        <v>26</v>
      </c>
      <c r="G26" s="7" t="s">
        <v>105</v>
      </c>
      <c r="H26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Development/Compensation &amp; Benefit/Compensation &amp; Benefit</v>
      </c>
      <c r="I26" s="7" t="str">
        <f>"('"&amp;DIVISION56[[#This Row],[ID.LEVEL]]&amp;"','"&amp;DIVISION56[[#This Row],[SUB-DEPARTEMENT]]&amp;"','"&amp;DIVISION56[[#This Row],[NOTE]]&amp;"'),"</f>
        <v>('SDP1.20','Compensation &amp; Benefit','SUB Low Level of Structure :/Direktur Human Capital/Human Resource &amp; Development/Compensation &amp; Benefit/Compensation &amp; Benefit'),</v>
      </c>
    </row>
    <row r="27" spans="1:9" x14ac:dyDescent="0.25">
      <c r="A27" s="2" t="s">
        <v>680</v>
      </c>
      <c r="B27" s="4" t="s">
        <v>229</v>
      </c>
      <c r="C27" s="1" t="s">
        <v>182</v>
      </c>
      <c r="D27" s="1" t="s">
        <v>131</v>
      </c>
      <c r="E27" s="7" t="s">
        <v>179</v>
      </c>
      <c r="F27" s="7" t="s">
        <v>26</v>
      </c>
      <c r="G27" s="7" t="s">
        <v>105</v>
      </c>
      <c r="H27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Development/ISO/Internal Audit &amp; Business Process</v>
      </c>
      <c r="I27" s="7" t="str">
        <f>"('"&amp;DIVISION56[[#This Row],[ID.LEVEL]]&amp;"','"&amp;DIVISION56[[#This Row],[SUB-DEPARTEMENT]]&amp;"','"&amp;DIVISION56[[#This Row],[NOTE]]&amp;"'),"</f>
        <v>('SDP1.21','Internal Audit &amp; Business Process','SUB Low Level of Structure :/Direktur Human Capital/Human Resource &amp; Development/ISO/Internal Audit &amp; Business Process'),</v>
      </c>
    </row>
    <row r="28" spans="1:9" x14ac:dyDescent="0.25">
      <c r="A28" s="2" t="s">
        <v>680</v>
      </c>
      <c r="B28" s="4" t="s">
        <v>230</v>
      </c>
      <c r="C28" s="1" t="s">
        <v>183</v>
      </c>
      <c r="D28" s="1" t="s">
        <v>183</v>
      </c>
      <c r="E28" s="7" t="s">
        <v>179</v>
      </c>
      <c r="F28" s="7" t="s">
        <v>26</v>
      </c>
      <c r="G28" s="7" t="s">
        <v>105</v>
      </c>
      <c r="H28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Development/People Development &amp; Career Management/People Development &amp; Career Management</v>
      </c>
      <c r="I28" s="7" t="str">
        <f>"('"&amp;DIVISION56[[#This Row],[ID.LEVEL]]&amp;"','"&amp;DIVISION56[[#This Row],[SUB-DEPARTEMENT]]&amp;"','"&amp;DIVISION56[[#This Row],[NOTE]]&amp;"'),"</f>
        <v>('SDP1.22','People Development &amp; Career Management','SUB Low Level of Structure :/Direktur Human Capital/Human Resource &amp; Development/People Development &amp; Career Management/People Development &amp; Career Management'),</v>
      </c>
    </row>
    <row r="29" spans="1:9" x14ac:dyDescent="0.25">
      <c r="A29" s="2" t="s">
        <v>680</v>
      </c>
      <c r="B29" s="4" t="s">
        <v>231</v>
      </c>
      <c r="C29" s="1" t="s">
        <v>184</v>
      </c>
      <c r="D29" s="1" t="s">
        <v>188</v>
      </c>
      <c r="E29" s="7" t="s">
        <v>179</v>
      </c>
      <c r="F29" s="7" t="s">
        <v>26</v>
      </c>
      <c r="G29" s="7" t="s">
        <v>105</v>
      </c>
      <c r="H29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Development/GA Operation/Employer Branding</v>
      </c>
      <c r="I29" s="7" t="str">
        <f>"('"&amp;DIVISION56[[#This Row],[ID.LEVEL]]&amp;"','"&amp;DIVISION56[[#This Row],[SUB-DEPARTEMENT]]&amp;"','"&amp;DIVISION56[[#This Row],[NOTE]]&amp;"'),"</f>
        <v>('SDP1.23','Employer Branding','SUB Low Level of Structure :/Direktur Human Capital/Human Resource &amp; Development/GA Operation/Employer Branding'),</v>
      </c>
    </row>
    <row r="30" spans="1:9" x14ac:dyDescent="0.25">
      <c r="A30" s="2" t="s">
        <v>680</v>
      </c>
      <c r="B30" s="4" t="s">
        <v>232</v>
      </c>
      <c r="C30" s="1" t="s">
        <v>185</v>
      </c>
      <c r="D30" s="1" t="s">
        <v>188</v>
      </c>
      <c r="E30" s="7" t="s">
        <v>179</v>
      </c>
      <c r="F30" s="7" t="s">
        <v>26</v>
      </c>
      <c r="G30" s="7" t="s">
        <v>105</v>
      </c>
      <c r="H30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Development/GA Operation/Warehouse</v>
      </c>
      <c r="I30" s="7" t="str">
        <f>"('"&amp;DIVISION56[[#This Row],[ID.LEVEL]]&amp;"','"&amp;DIVISION56[[#This Row],[SUB-DEPARTEMENT]]&amp;"','"&amp;DIVISION56[[#This Row],[NOTE]]&amp;"'),"</f>
        <v>('SDP1.24','Warehouse','SUB Low Level of Structure :/Direktur Human Capital/Human Resource &amp; Development/GA Operation/Warehouse'),</v>
      </c>
    </row>
    <row r="31" spans="1:9" x14ac:dyDescent="0.25">
      <c r="A31" s="2" t="s">
        <v>680</v>
      </c>
      <c r="B31" s="4" t="s">
        <v>233</v>
      </c>
      <c r="C31" s="1" t="s">
        <v>191</v>
      </c>
      <c r="D31" s="1" t="s">
        <v>188</v>
      </c>
      <c r="E31" s="7" t="s">
        <v>179</v>
      </c>
      <c r="F31" s="7" t="s">
        <v>26</v>
      </c>
      <c r="G31" s="7" t="s">
        <v>105</v>
      </c>
      <c r="H31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Development/GA Operation/Storekeeper</v>
      </c>
      <c r="I31" s="7" t="str">
        <f>"('"&amp;DIVISION56[[#This Row],[ID.LEVEL]]&amp;"','"&amp;DIVISION56[[#This Row],[SUB-DEPARTEMENT]]&amp;"','"&amp;DIVISION56[[#This Row],[NOTE]]&amp;"'),"</f>
        <v>('SDP1.25','Storekeeper','SUB Low Level of Structure :/Direktur Human Capital/Human Resource &amp; Development/GA Operation/Storekeeper'),</v>
      </c>
    </row>
    <row r="32" spans="1:9" x14ac:dyDescent="0.25">
      <c r="A32" s="2" t="s">
        <v>680</v>
      </c>
      <c r="B32" s="4" t="s">
        <v>234</v>
      </c>
      <c r="C32" s="1" t="s">
        <v>186</v>
      </c>
      <c r="D32" s="1" t="s">
        <v>188</v>
      </c>
      <c r="E32" s="7" t="s">
        <v>179</v>
      </c>
      <c r="F32" s="7" t="s">
        <v>26</v>
      </c>
      <c r="G32" s="7" t="s">
        <v>105</v>
      </c>
      <c r="H32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Development/GA Operation/Office Boy</v>
      </c>
      <c r="I32" s="7" t="str">
        <f>"('"&amp;DIVISION56[[#This Row],[ID.LEVEL]]&amp;"','"&amp;DIVISION56[[#This Row],[SUB-DEPARTEMENT]]&amp;"','"&amp;DIVISION56[[#This Row],[NOTE]]&amp;"'),"</f>
        <v>('SDP1.26','Office Boy','SUB Low Level of Structure :/Direktur Human Capital/Human Resource &amp; Development/GA Operation/Office Boy'),</v>
      </c>
    </row>
    <row r="33" spans="1:9" x14ac:dyDescent="0.25">
      <c r="A33" s="2" t="s">
        <v>680</v>
      </c>
      <c r="B33" s="4" t="s">
        <v>235</v>
      </c>
      <c r="C33" s="1" t="s">
        <v>187</v>
      </c>
      <c r="D33" s="1" t="s">
        <v>188</v>
      </c>
      <c r="E33" s="7" t="s">
        <v>179</v>
      </c>
      <c r="F33" s="7" t="s">
        <v>26</v>
      </c>
      <c r="G33" s="7" t="s">
        <v>105</v>
      </c>
      <c r="H33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Development/GA Operation/Messenger</v>
      </c>
      <c r="I33" s="7" t="str">
        <f>"('"&amp;DIVISION56[[#This Row],[ID.LEVEL]]&amp;"','"&amp;DIVISION56[[#This Row],[SUB-DEPARTEMENT]]&amp;"','"&amp;DIVISION56[[#This Row],[NOTE]]&amp;"'),"</f>
        <v>('SDP1.27','Messenger','SUB Low Level of Structure :/Direktur Human Capital/Human Resource &amp; Development/GA Operation/Messenger'),</v>
      </c>
    </row>
    <row r="34" spans="1:9" x14ac:dyDescent="0.25">
      <c r="A34" s="2" t="s">
        <v>680</v>
      </c>
      <c r="B34" s="4" t="s">
        <v>236</v>
      </c>
      <c r="C34" s="1" t="s">
        <v>189</v>
      </c>
      <c r="D34" s="1" t="s">
        <v>189</v>
      </c>
      <c r="E34" s="7" t="s">
        <v>179</v>
      </c>
      <c r="F34" s="7" t="s">
        <v>26</v>
      </c>
      <c r="G34" s="7" t="s">
        <v>105</v>
      </c>
      <c r="H34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Development/Contract &amp; Payment Control/Contract &amp; Payment Control</v>
      </c>
      <c r="I34" s="7" t="str">
        <f>"('"&amp;DIVISION56[[#This Row],[ID.LEVEL]]&amp;"','"&amp;DIVISION56[[#This Row],[SUB-DEPARTEMENT]]&amp;"','"&amp;DIVISION56[[#This Row],[NOTE]]&amp;"'),"</f>
        <v>('SDP1.28','Contract &amp; Payment Control','SUB Low Level of Structure :/Direktur Human Capital/Human Resource &amp; Development/Contract &amp; Payment Control/Contract &amp; Payment Control'),</v>
      </c>
    </row>
    <row r="35" spans="1:9" x14ac:dyDescent="0.25">
      <c r="A35" s="2" t="s">
        <v>680</v>
      </c>
      <c r="B35" s="4" t="s">
        <v>237</v>
      </c>
      <c r="C35" s="1" t="s">
        <v>190</v>
      </c>
      <c r="D35" s="1" t="s">
        <v>190</v>
      </c>
      <c r="E35" s="7" t="s">
        <v>179</v>
      </c>
      <c r="F35" s="7" t="s">
        <v>26</v>
      </c>
      <c r="G35" s="7" t="s">
        <v>105</v>
      </c>
      <c r="H35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:/Direktur Human Capital/Human Resource &amp; Development/Business Partner/Business Partner</v>
      </c>
      <c r="I35" s="7" t="str">
        <f>"('"&amp;DIVISION56[[#This Row],[ID.LEVEL]]&amp;"','"&amp;DIVISION56[[#This Row],[SUB-DEPARTEMENT]]&amp;"','"&amp;DIVISION56[[#This Row],[NOTE]]&amp;"'),"</f>
        <v>('SDP1.29','Business Partner','SUB Low Level of Structure :/Direktur Human Capital/Human Resource &amp; Development/Business Partner/Business Partner'),</v>
      </c>
    </row>
    <row r="36" spans="1:9" x14ac:dyDescent="0.25">
      <c r="B36" s="4" t="s">
        <v>238</v>
      </c>
      <c r="C36" s="1" t="s">
        <v>193</v>
      </c>
      <c r="D36" s="1" t="s">
        <v>192</v>
      </c>
      <c r="E36" s="7" t="s">
        <v>132</v>
      </c>
      <c r="F36" s="7"/>
      <c r="G36" s="7"/>
      <c r="H36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://Operation/Housekeeping &amp;Parking/Housekeeping</v>
      </c>
      <c r="I36" s="7" t="str">
        <f>"('"&amp;DIVISION56[[#This Row],[ID.LEVEL]]&amp;"','"&amp;DIVISION56[[#This Row],[SUB-DEPARTEMENT]]&amp;"','"&amp;DIVISION56[[#This Row],[NOTE]]&amp;"'),"</f>
        <v>('SDP1.30','Housekeeping','SUB Low Level of Structure ://Operation/Housekeeping &amp;Parking/Housekeeping'),</v>
      </c>
    </row>
    <row r="37" spans="1:9" x14ac:dyDescent="0.25">
      <c r="B37" s="4" t="s">
        <v>239</v>
      </c>
      <c r="C37" s="1" t="s">
        <v>194</v>
      </c>
      <c r="D37" s="1" t="s">
        <v>192</v>
      </c>
      <c r="E37" s="7" t="s">
        <v>132</v>
      </c>
      <c r="F37" s="7"/>
      <c r="G37" s="7"/>
      <c r="H37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://Operation/Housekeeping &amp;Parking/Parking</v>
      </c>
      <c r="I37" s="7" t="str">
        <f>"('"&amp;DIVISION56[[#This Row],[ID.LEVEL]]&amp;"','"&amp;DIVISION56[[#This Row],[SUB-DEPARTEMENT]]&amp;"','"&amp;DIVISION56[[#This Row],[NOTE]]&amp;"'),"</f>
        <v>('SDP1.31','Parking','SUB Low Level of Structure ://Operation/Housekeeping &amp;Parking/Parking'),</v>
      </c>
    </row>
    <row r="38" spans="1:9" x14ac:dyDescent="0.25">
      <c r="B38" s="4" t="s">
        <v>240</v>
      </c>
      <c r="C38" s="1" t="s">
        <v>195</v>
      </c>
      <c r="D38" s="1" t="s">
        <v>197</v>
      </c>
      <c r="E38" s="7" t="s">
        <v>132</v>
      </c>
      <c r="F38" s="7"/>
      <c r="G38" s="7"/>
      <c r="H38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://Operation/HSE &amp; Safety/Safety</v>
      </c>
      <c r="I38" s="7" t="str">
        <f>"('"&amp;DIVISION56[[#This Row],[ID.LEVEL]]&amp;"','"&amp;DIVISION56[[#This Row],[SUB-DEPARTEMENT]]&amp;"','"&amp;DIVISION56[[#This Row],[NOTE]]&amp;"'),"</f>
        <v>('SDP1.32','Safety','SUB Low Level of Structure ://Operation/HSE &amp; Safety/Safety'),</v>
      </c>
    </row>
    <row r="39" spans="1:9" x14ac:dyDescent="0.25">
      <c r="B39" s="4" t="s">
        <v>241</v>
      </c>
      <c r="C39" s="1" t="s">
        <v>196</v>
      </c>
      <c r="D39" s="1" t="s">
        <v>197</v>
      </c>
      <c r="E39" s="7" t="s">
        <v>132</v>
      </c>
      <c r="F39" s="7"/>
      <c r="G39" s="7"/>
      <c r="H39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://Operation/HSE &amp; Safety/HSE</v>
      </c>
      <c r="I39" s="7" t="str">
        <f>"('"&amp;DIVISION56[[#This Row],[ID.LEVEL]]&amp;"','"&amp;DIVISION56[[#This Row],[SUB-DEPARTEMENT]]&amp;"','"&amp;DIVISION56[[#This Row],[NOTE]]&amp;"'),"</f>
        <v>('SDP1.33','HSE','SUB Low Level of Structure ://Operation/HSE &amp; Safety/HSE'),</v>
      </c>
    </row>
    <row r="40" spans="1:9" x14ac:dyDescent="0.25">
      <c r="B40" s="4" t="s">
        <v>242</v>
      </c>
      <c r="C40" s="1" t="s">
        <v>199</v>
      </c>
      <c r="D40" s="1" t="s">
        <v>198</v>
      </c>
      <c r="E40" s="7" t="s">
        <v>132</v>
      </c>
      <c r="F40" s="7"/>
      <c r="G40" s="7"/>
      <c r="H40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://Operation/GEA &amp; TR/GEA</v>
      </c>
      <c r="I40" s="7" t="str">
        <f>"('"&amp;DIVISION56[[#This Row],[ID.LEVEL]]&amp;"','"&amp;DIVISION56[[#This Row],[SUB-DEPARTEMENT]]&amp;"','"&amp;DIVISION56[[#This Row],[NOTE]]&amp;"'),"</f>
        <v>('SDP1.34','GEA','SUB Low Level of Structure ://Operation/GEA &amp; TR/GEA'),</v>
      </c>
    </row>
    <row r="41" spans="1:9" x14ac:dyDescent="0.25">
      <c r="B41" s="4" t="s">
        <v>243</v>
      </c>
      <c r="C41" s="1" t="s">
        <v>200</v>
      </c>
      <c r="D41" s="1" t="s">
        <v>198</v>
      </c>
      <c r="E41" s="7" t="s">
        <v>132</v>
      </c>
      <c r="F41" s="7"/>
      <c r="G41" s="7"/>
      <c r="H41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://Operation/GEA &amp; TR/TR</v>
      </c>
      <c r="I41" s="7" t="str">
        <f>"('"&amp;DIVISION56[[#This Row],[ID.LEVEL]]&amp;"','"&amp;DIVISION56[[#This Row],[SUB-DEPARTEMENT]]&amp;"','"&amp;DIVISION56[[#This Row],[NOTE]]&amp;"'),"</f>
        <v>('SDP1.35','TR','SUB Low Level of Structure ://Operation/GEA &amp; TR/TR'),</v>
      </c>
    </row>
    <row r="42" spans="1:9" x14ac:dyDescent="0.25">
      <c r="B42" s="4" t="s">
        <v>244</v>
      </c>
      <c r="C42" s="1" t="s">
        <v>201</v>
      </c>
      <c r="D42" s="1" t="s">
        <v>201</v>
      </c>
      <c r="E42" s="7" t="s">
        <v>132</v>
      </c>
      <c r="F42" s="7"/>
      <c r="G42" s="7"/>
      <c r="H42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://Operation/Landscape/Landscape</v>
      </c>
      <c r="I42" s="7" t="str">
        <f>"('"&amp;DIVISION56[[#This Row],[ID.LEVEL]]&amp;"','"&amp;DIVISION56[[#This Row],[SUB-DEPARTEMENT]]&amp;"','"&amp;DIVISION56[[#This Row],[NOTE]]&amp;"'),"</f>
        <v>('SDP1.36','Landscape','SUB Low Level of Structure ://Operation/Landscape/Landscape'),</v>
      </c>
    </row>
    <row r="43" spans="1:9" x14ac:dyDescent="0.25">
      <c r="B43" s="4" t="s">
        <v>245</v>
      </c>
      <c r="C43" s="1" t="s">
        <v>202</v>
      </c>
      <c r="D43" s="1" t="s">
        <v>202</v>
      </c>
      <c r="E43" s="7" t="s">
        <v>132</v>
      </c>
      <c r="F43" s="7"/>
      <c r="G43" s="7"/>
      <c r="H43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://Operation/Security/Security</v>
      </c>
      <c r="I43" s="7" t="str">
        <f>"('"&amp;DIVISION56[[#This Row],[ID.LEVEL]]&amp;"','"&amp;DIVISION56[[#This Row],[SUB-DEPARTEMENT]]&amp;"','"&amp;DIVISION56[[#This Row],[NOTE]]&amp;"'),"</f>
        <v>('SDP1.37','Security','SUB Low Level of Structure ://Operation/Security/Security'),</v>
      </c>
    </row>
    <row r="44" spans="1:9" x14ac:dyDescent="0.25">
      <c r="B44" s="4" t="s">
        <v>246</v>
      </c>
      <c r="C44" s="1" t="s">
        <v>203</v>
      </c>
      <c r="D44" s="1" t="s">
        <v>203</v>
      </c>
      <c r="E44" s="7" t="s">
        <v>132</v>
      </c>
      <c r="F44" s="7"/>
      <c r="G44" s="7"/>
      <c r="H44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://Operation/F &amp; B/F &amp; B</v>
      </c>
      <c r="I44" s="7" t="str">
        <f>"('"&amp;DIVISION56[[#This Row],[ID.LEVEL]]&amp;"','"&amp;DIVISION56[[#This Row],[SUB-DEPARTEMENT]]&amp;"','"&amp;DIVISION56[[#This Row],[NOTE]]&amp;"'),"</f>
        <v>('SDP1.38','F &amp; B','SUB Low Level of Structure ://Operation/F &amp; B/F &amp; B'),</v>
      </c>
    </row>
    <row r="45" spans="1:9" x14ac:dyDescent="0.25">
      <c r="B45" s="4" t="s">
        <v>247</v>
      </c>
      <c r="C45" s="1" t="s">
        <v>204</v>
      </c>
      <c r="D45" s="1" t="s">
        <v>204</v>
      </c>
      <c r="E45" s="7" t="s">
        <v>132</v>
      </c>
      <c r="F45" s="7"/>
      <c r="G45" s="7"/>
      <c r="H45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://Operation/Sustainability/Sustainability</v>
      </c>
      <c r="I45" s="7" t="str">
        <f>"('"&amp;DIVISION56[[#This Row],[ID.LEVEL]]&amp;"','"&amp;DIVISION56[[#This Row],[SUB-DEPARTEMENT]]&amp;"','"&amp;DIVISION56[[#This Row],[NOTE]]&amp;"'),"</f>
        <v>('SDP1.39','Sustainability','SUB Low Level of Structure ://Operation/Sustainability/Sustainability'),</v>
      </c>
    </row>
    <row r="46" spans="1:9" x14ac:dyDescent="0.25">
      <c r="B46" s="4" t="s">
        <v>248</v>
      </c>
      <c r="C46" s="1" t="s">
        <v>205</v>
      </c>
      <c r="D46" s="1" t="s">
        <v>205</v>
      </c>
      <c r="E46" s="7" t="s">
        <v>132</v>
      </c>
      <c r="F46" s="7"/>
      <c r="G46" s="7"/>
      <c r="H46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://Operation/Handling Compliant/Handling Compliant</v>
      </c>
      <c r="I46" s="7" t="str">
        <f>"('"&amp;DIVISION56[[#This Row],[ID.LEVEL]]&amp;"','"&amp;DIVISION56[[#This Row],[SUB-DEPARTEMENT]]&amp;"','"&amp;DIVISION56[[#This Row],[NOTE]]&amp;"'),"</f>
        <v>('SDP1.40','Handling Compliant','SUB Low Level of Structure ://Operation/Handling Compliant/Handling Compliant'),</v>
      </c>
    </row>
    <row r="47" spans="1:9" x14ac:dyDescent="0.25">
      <c r="B47" s="4" t="s">
        <v>249</v>
      </c>
      <c r="C47" s="1" t="s">
        <v>207</v>
      </c>
      <c r="D47" s="1" t="s">
        <v>207</v>
      </c>
      <c r="E47" s="7" t="s">
        <v>132</v>
      </c>
      <c r="F47" s="7"/>
      <c r="G47" s="7"/>
      <c r="H47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://Operation/Operational CCTV/Operational CCTV</v>
      </c>
      <c r="I47" s="7" t="str">
        <f>"('"&amp;DIVISION56[[#This Row],[ID.LEVEL]]&amp;"','"&amp;DIVISION56[[#This Row],[SUB-DEPARTEMENT]]&amp;"','"&amp;DIVISION56[[#This Row],[NOTE]]&amp;"'),"</f>
        <v>('SDP1.41','Operational CCTV','SUB Low Level of Structure ://Operation/Operational CCTV/Operational CCTV'),</v>
      </c>
    </row>
    <row r="48" spans="1:9" x14ac:dyDescent="0.25">
      <c r="B48" s="4" t="s">
        <v>250</v>
      </c>
      <c r="C48" s="1" t="s">
        <v>206</v>
      </c>
      <c r="D48" s="1" t="s">
        <v>206</v>
      </c>
      <c r="E48" s="7" t="s">
        <v>132</v>
      </c>
      <c r="F48" s="7"/>
      <c r="G48" s="7"/>
      <c r="H48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://Operation/Operational Genset &amp; Control Room/Operational Genset &amp; Control Room</v>
      </c>
      <c r="I48" s="7" t="str">
        <f>"('"&amp;DIVISION56[[#This Row],[ID.LEVEL]]&amp;"','"&amp;DIVISION56[[#This Row],[SUB-DEPARTEMENT]]&amp;"','"&amp;DIVISION56[[#This Row],[NOTE]]&amp;"'),"</f>
        <v>('SDP1.42','Operational Genset &amp; Control Room','SUB Low Level of Structure ://Operation/Operational Genset &amp; Control Room/Operational Genset &amp; Control Room'),</v>
      </c>
    </row>
    <row r="49" spans="2:9" x14ac:dyDescent="0.25">
      <c r="B49" s="4" t="s">
        <v>251</v>
      </c>
      <c r="C49" s="1"/>
      <c r="D49" s="1"/>
      <c r="E49" s="1"/>
      <c r="F49" s="7"/>
      <c r="G49" s="7"/>
      <c r="H49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:////</v>
      </c>
      <c r="I49" s="7" t="str">
        <f>"('"&amp;DIVISION56[[#This Row],[ID.LEVEL]]&amp;"','"&amp;DIVISION56[[#This Row],[SUB-DEPARTEMENT]]&amp;"','"&amp;DIVISION56[[#This Row],[NOTE]]&amp;"'),"</f>
        <v>('SDP1.43','','SUB Low Level of Structure :////'),</v>
      </c>
    </row>
    <row r="50" spans="2:9" x14ac:dyDescent="0.25">
      <c r="B50" s="4" t="s">
        <v>252</v>
      </c>
      <c r="C50" s="1"/>
      <c r="D50" s="1"/>
      <c r="E50" s="1"/>
      <c r="F50" s="7"/>
      <c r="G50" s="7"/>
      <c r="H50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:////</v>
      </c>
      <c r="I50" s="7" t="str">
        <f>"('"&amp;DIVISION56[[#This Row],[ID.LEVEL]]&amp;"','"&amp;DIVISION56[[#This Row],[SUB-DEPARTEMENT]]&amp;"','"&amp;DIVISION56[[#This Row],[NOTE]]&amp;"'),"</f>
        <v>('SDP1.44','','SUB Low Level of Structure :////'),</v>
      </c>
    </row>
    <row r="51" spans="2:9" x14ac:dyDescent="0.25">
      <c r="B51" s="4" t="s">
        <v>253</v>
      </c>
      <c r="C51" s="1"/>
      <c r="D51" s="1"/>
      <c r="E51" s="1"/>
      <c r="F51" s="7"/>
      <c r="G51" s="7"/>
      <c r="H51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:////</v>
      </c>
      <c r="I51" s="7" t="str">
        <f>"('"&amp;DIVISION56[[#This Row],[ID.LEVEL]]&amp;"','"&amp;DIVISION56[[#This Row],[SUB-DEPARTEMENT]]&amp;"','"&amp;DIVISION56[[#This Row],[NOTE]]&amp;"'),"</f>
        <v>('SDP1.45','','SUB Low Level of Structure :////'),</v>
      </c>
    </row>
    <row r="52" spans="2:9" x14ac:dyDescent="0.25">
      <c r="B52" s="4" t="s">
        <v>254</v>
      </c>
      <c r="C52" s="1"/>
      <c r="D52" s="1"/>
      <c r="E52" s="1"/>
      <c r="F52" s="7"/>
      <c r="G52" s="7"/>
      <c r="H52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:////</v>
      </c>
      <c r="I52" s="7" t="str">
        <f>"('"&amp;DIVISION56[[#This Row],[ID.LEVEL]]&amp;"','"&amp;DIVISION56[[#This Row],[SUB-DEPARTEMENT]]&amp;"','"&amp;DIVISION56[[#This Row],[NOTE]]&amp;"'),"</f>
        <v>('SDP1.46','','SUB Low Level of Structure :////'),</v>
      </c>
    </row>
    <row r="53" spans="2:9" x14ac:dyDescent="0.25">
      <c r="B53" s="4" t="s">
        <v>255</v>
      </c>
      <c r="C53" s="1"/>
      <c r="D53" s="1"/>
      <c r="E53" s="1"/>
      <c r="F53" s="7"/>
      <c r="G53" s="7"/>
      <c r="H53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:////</v>
      </c>
      <c r="I53" s="7" t="str">
        <f>"('"&amp;DIVISION56[[#This Row],[ID.LEVEL]]&amp;"','"&amp;DIVISION56[[#This Row],[SUB-DEPARTEMENT]]&amp;"','"&amp;DIVISION56[[#This Row],[NOTE]]&amp;"'),"</f>
        <v>('SDP1.47','','SUB Low Level of Structure :////'),</v>
      </c>
    </row>
    <row r="54" spans="2:9" x14ac:dyDescent="0.25">
      <c r="B54" s="4" t="s">
        <v>256</v>
      </c>
      <c r="C54" s="1" t="s">
        <v>133</v>
      </c>
      <c r="D54" s="1"/>
      <c r="E54" s="1" t="s">
        <v>133</v>
      </c>
      <c r="F54" s="7"/>
      <c r="G54" s="7"/>
      <c r="H54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://Engineering//Engineering</v>
      </c>
      <c r="I54" s="7" t="str">
        <f>"('"&amp;DIVISION56[[#This Row],[ID.LEVEL]]&amp;"','"&amp;DIVISION56[[#This Row],[SUB-DEPARTEMENT]]&amp;"','"&amp;DIVISION56[[#This Row],[NOTE]]&amp;"'),"</f>
        <v>('SDP1.48','Engineering','SUB Low Level of Structure ://Engineering//Engineering'),</v>
      </c>
    </row>
    <row r="55" spans="2:9" x14ac:dyDescent="0.25">
      <c r="B55" s="4" t="s">
        <v>257</v>
      </c>
      <c r="C55" s="1" t="s">
        <v>134</v>
      </c>
      <c r="D55" s="1"/>
      <c r="E55" s="1" t="s">
        <v>134</v>
      </c>
      <c r="F55" s="7"/>
      <c r="G55" s="7"/>
      <c r="H55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://Marketing &amp; Commercial//Marketing &amp; Commercial</v>
      </c>
      <c r="I55" s="7" t="str">
        <f>"('"&amp;DIVISION56[[#This Row],[ID.LEVEL]]&amp;"','"&amp;DIVISION56[[#This Row],[SUB-DEPARTEMENT]]&amp;"','"&amp;DIVISION56[[#This Row],[NOTE]]&amp;"'),"</f>
        <v>('SDP1.49','Marketing &amp; Commercial','SUB Low Level of Structure ://Marketing &amp; Commercial//Marketing &amp; Commercial'),</v>
      </c>
    </row>
    <row r="56" spans="2:9" x14ac:dyDescent="0.25">
      <c r="B56" s="4" t="s">
        <v>258</v>
      </c>
      <c r="C56" s="1" t="s">
        <v>135</v>
      </c>
      <c r="D56" s="1"/>
      <c r="E56" s="1" t="s">
        <v>135</v>
      </c>
      <c r="F56" s="7"/>
      <c r="G56" s="7"/>
      <c r="H56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://Legal &amp; Government Relation//Legal &amp; Government Relation</v>
      </c>
      <c r="I56" s="7" t="str">
        <f>"('"&amp;DIVISION56[[#This Row],[ID.LEVEL]]&amp;"','"&amp;DIVISION56[[#This Row],[SUB-DEPARTEMENT]]&amp;"','"&amp;DIVISION56[[#This Row],[NOTE]]&amp;"'),"</f>
        <v>('SDP1.50','Legal &amp; Government Relation','SUB Low Level of Structure ://Legal &amp; Government Relation//Legal &amp; Government Relation'),</v>
      </c>
    </row>
    <row r="57" spans="2:9" x14ac:dyDescent="0.25">
      <c r="B57" s="4" t="s">
        <v>259</v>
      </c>
      <c r="C57" s="1" t="s">
        <v>136</v>
      </c>
      <c r="D57" s="1"/>
      <c r="E57" s="1" t="s">
        <v>136</v>
      </c>
      <c r="F57" s="7"/>
      <c r="G57" s="7"/>
      <c r="H57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://Leasing//Leasing</v>
      </c>
      <c r="I57" s="7" t="str">
        <f>"('"&amp;DIVISION56[[#This Row],[ID.LEVEL]]&amp;"','"&amp;DIVISION56[[#This Row],[SUB-DEPARTEMENT]]&amp;"','"&amp;DIVISION56[[#This Row],[NOTE]]&amp;"'),"</f>
        <v>('SDP1.51','Leasing','SUB Low Level of Structure ://Leasing//Leasing'),</v>
      </c>
    </row>
    <row r="58" spans="2:9" x14ac:dyDescent="0.25">
      <c r="B58" s="4" t="s">
        <v>260</v>
      </c>
      <c r="C58" s="1" t="s">
        <v>137</v>
      </c>
      <c r="D58" s="1"/>
      <c r="E58" s="1" t="s">
        <v>137</v>
      </c>
      <c r="F58" s="7"/>
      <c r="G58" s="7"/>
      <c r="H58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://Property Office Management//Property Office Management</v>
      </c>
      <c r="I58" s="7" t="str">
        <f>"('"&amp;DIVISION56[[#This Row],[ID.LEVEL]]&amp;"','"&amp;DIVISION56[[#This Row],[SUB-DEPARTEMENT]]&amp;"','"&amp;DIVISION56[[#This Row],[NOTE]]&amp;"'),"</f>
        <v>('SDP1.52','Property Office Management','SUB Low Level of Structure ://Property Office Management//Property Office Management'),</v>
      </c>
    </row>
    <row r="59" spans="2:9" x14ac:dyDescent="0.25">
      <c r="B59" s="4" t="s">
        <v>298</v>
      </c>
      <c r="C59" s="1"/>
      <c r="D59" s="1"/>
      <c r="E59" s="7"/>
      <c r="F59" s="7"/>
      <c r="G59" s="7"/>
      <c r="H59" s="7" t="str">
        <f>"SUB Low Level of Structure :"&amp;"/"&amp;DIVISION56[[#This Row],[DIRECTORATE ACTUALS]]&amp;"/"&amp;DIVISION56[[#This Row],[DIVISION]]&amp;"/"&amp;DIVISION56[[#This Row],[DEPARTEMENT]]&amp;"/"&amp;DIVISION56[[#This Row],[SUB-DEPARTEMENT]]</f>
        <v>SUB Low Level of Structure :////</v>
      </c>
      <c r="I59" s="7" t="str">
        <f>"('"&amp;DIVISION56[[#This Row],[ID.LEVEL]]&amp;"','"&amp;DIVISION56[[#This Row],[SUB-DEPARTEMENT]]&amp;"','"&amp;DIVISION56[[#This Row],[NOTE]]&amp;"'),"</f>
        <v>('SDP1.99','','SUB Low Level of Structure :////'),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0F39-CB6C-4308-AA4B-CEC6AAEED393}">
  <sheetPr codeName="Sheet7"/>
  <dimension ref="B4:D16"/>
  <sheetViews>
    <sheetView workbookViewId="0">
      <selection activeCell="B6" sqref="B6"/>
    </sheetView>
  </sheetViews>
  <sheetFormatPr defaultRowHeight="15" x14ac:dyDescent="0.25"/>
  <cols>
    <col min="2" max="2" width="10.5703125" style="2" customWidth="1"/>
    <col min="3" max="3" width="29" bestFit="1" customWidth="1"/>
    <col min="4" max="4" width="19.28515625" bestFit="1" customWidth="1"/>
    <col min="5" max="5" width="16" bestFit="1" customWidth="1"/>
  </cols>
  <sheetData>
    <row r="4" spans="2:4" x14ac:dyDescent="0.25">
      <c r="B4" s="3" t="s">
        <v>54</v>
      </c>
      <c r="C4" s="3" t="s">
        <v>3</v>
      </c>
      <c r="D4" s="3" t="s">
        <v>53</v>
      </c>
    </row>
    <row r="5" spans="2:4" x14ac:dyDescent="0.25">
      <c r="B5" s="5" t="s">
        <v>275</v>
      </c>
      <c r="C5" s="6" t="s">
        <v>19</v>
      </c>
      <c r="D5" s="6" t="s">
        <v>102</v>
      </c>
    </row>
    <row r="6" spans="2:4" x14ac:dyDescent="0.25">
      <c r="B6" s="4" t="s">
        <v>287</v>
      </c>
      <c r="C6" s="1" t="s">
        <v>274</v>
      </c>
      <c r="D6" s="1"/>
    </row>
    <row r="7" spans="2:4" x14ac:dyDescent="0.25">
      <c r="B7" s="4" t="s">
        <v>289</v>
      </c>
      <c r="C7" s="1" t="s">
        <v>128</v>
      </c>
      <c r="D7" s="1"/>
    </row>
    <row r="8" spans="2:4" x14ac:dyDescent="0.25">
      <c r="B8" s="4" t="s">
        <v>276</v>
      </c>
      <c r="C8" s="1" t="s">
        <v>129</v>
      </c>
      <c r="D8" s="1"/>
    </row>
    <row r="9" spans="2:4" x14ac:dyDescent="0.25">
      <c r="B9" s="4" t="s">
        <v>277</v>
      </c>
      <c r="C9" s="1" t="s">
        <v>130</v>
      </c>
      <c r="D9" s="1"/>
    </row>
    <row r="10" spans="2:4" x14ac:dyDescent="0.25">
      <c r="B10" s="4" t="s">
        <v>278</v>
      </c>
      <c r="C10" s="1" t="s">
        <v>131</v>
      </c>
      <c r="D10" s="1"/>
    </row>
    <row r="11" spans="2:4" x14ac:dyDescent="0.25">
      <c r="B11" s="4" t="s">
        <v>279</v>
      </c>
      <c r="C11" s="1" t="s">
        <v>132</v>
      </c>
      <c r="D11" s="1"/>
    </row>
    <row r="12" spans="2:4" x14ac:dyDescent="0.25">
      <c r="B12" s="4" t="s">
        <v>280</v>
      </c>
      <c r="C12" s="1" t="s">
        <v>133</v>
      </c>
      <c r="D12" s="1"/>
    </row>
    <row r="13" spans="2:4" x14ac:dyDescent="0.25">
      <c r="B13" s="4" t="s">
        <v>281</v>
      </c>
      <c r="C13" s="1" t="s">
        <v>134</v>
      </c>
      <c r="D13" s="1"/>
    </row>
    <row r="14" spans="2:4" x14ac:dyDescent="0.25">
      <c r="B14" s="4" t="s">
        <v>282</v>
      </c>
      <c r="C14" s="1" t="s">
        <v>135</v>
      </c>
      <c r="D14" s="1"/>
    </row>
    <row r="15" spans="2:4" x14ac:dyDescent="0.25">
      <c r="B15" s="4" t="s">
        <v>283</v>
      </c>
      <c r="C15" s="1" t="s">
        <v>136</v>
      </c>
      <c r="D15" s="1"/>
    </row>
    <row r="16" spans="2:4" x14ac:dyDescent="0.25">
      <c r="B16" s="4" t="s">
        <v>284</v>
      </c>
      <c r="C16" s="1" t="s">
        <v>137</v>
      </c>
      <c r="D16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1515-4E29-4D85-8C7B-B558ECC1A123}">
  <sheetPr codeName="Sheet8"/>
  <dimension ref="B4:D16"/>
  <sheetViews>
    <sheetView workbookViewId="0">
      <selection activeCell="B6" sqref="B6"/>
    </sheetView>
  </sheetViews>
  <sheetFormatPr defaultRowHeight="15" x14ac:dyDescent="0.25"/>
  <cols>
    <col min="2" max="2" width="10.5703125" style="2" customWidth="1"/>
    <col min="3" max="3" width="29" bestFit="1" customWidth="1"/>
    <col min="4" max="4" width="19.28515625" bestFit="1" customWidth="1"/>
    <col min="5" max="5" width="16" bestFit="1" customWidth="1"/>
  </cols>
  <sheetData>
    <row r="4" spans="2:4" x14ac:dyDescent="0.25">
      <c r="B4" s="3" t="s">
        <v>54</v>
      </c>
      <c r="C4" s="3" t="s">
        <v>3</v>
      </c>
      <c r="D4" s="3" t="s">
        <v>53</v>
      </c>
    </row>
    <row r="5" spans="2:4" x14ac:dyDescent="0.25">
      <c r="B5" s="5" t="s">
        <v>384</v>
      </c>
      <c r="C5" s="6" t="s">
        <v>19</v>
      </c>
      <c r="D5" s="6" t="s">
        <v>102</v>
      </c>
    </row>
    <row r="6" spans="2:4" x14ac:dyDescent="0.25">
      <c r="B6" s="4" t="s">
        <v>286</v>
      </c>
      <c r="C6" s="1" t="s">
        <v>285</v>
      </c>
      <c r="D6" s="1"/>
    </row>
    <row r="7" spans="2:4" x14ac:dyDescent="0.25">
      <c r="B7" s="4" t="s">
        <v>689</v>
      </c>
      <c r="C7" s="1" t="s">
        <v>787</v>
      </c>
      <c r="D7" s="1"/>
    </row>
    <row r="8" spans="2:4" x14ac:dyDescent="0.25">
      <c r="B8" s="4" t="s">
        <v>297</v>
      </c>
      <c r="C8" s="1" t="s">
        <v>788</v>
      </c>
      <c r="D8" s="1"/>
    </row>
    <row r="9" spans="2:4" x14ac:dyDescent="0.25">
      <c r="B9" s="4" t="s">
        <v>785</v>
      </c>
      <c r="C9" s="1" t="s">
        <v>787</v>
      </c>
      <c r="D9" s="1"/>
    </row>
    <row r="10" spans="2:4" x14ac:dyDescent="0.25">
      <c r="B10" s="4" t="s">
        <v>786</v>
      </c>
      <c r="C10" s="1" t="s">
        <v>787</v>
      </c>
      <c r="D10" s="1"/>
    </row>
    <row r="11" spans="2:4" x14ac:dyDescent="0.25">
      <c r="B11" s="4"/>
      <c r="C11" s="1" t="s">
        <v>787</v>
      </c>
      <c r="D11" s="1"/>
    </row>
    <row r="12" spans="2:4" x14ac:dyDescent="0.25">
      <c r="B12" s="4"/>
      <c r="C12" s="1" t="s">
        <v>787</v>
      </c>
      <c r="D12" s="1"/>
    </row>
    <row r="13" spans="2:4" x14ac:dyDescent="0.25">
      <c r="B13" s="4"/>
      <c r="C13" s="1" t="s">
        <v>787</v>
      </c>
      <c r="D13" s="1"/>
    </row>
    <row r="14" spans="2:4" x14ac:dyDescent="0.25">
      <c r="B14" s="4"/>
      <c r="C14" s="1" t="s">
        <v>787</v>
      </c>
      <c r="D14" s="1"/>
    </row>
    <row r="15" spans="2:4" x14ac:dyDescent="0.25">
      <c r="B15" s="4"/>
      <c r="C15" s="1" t="s">
        <v>787</v>
      </c>
      <c r="D15" s="1"/>
    </row>
    <row r="16" spans="2:4" x14ac:dyDescent="0.25">
      <c r="B16" s="4"/>
      <c r="C16" s="1" t="s">
        <v>787</v>
      </c>
      <c r="D16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B627-731B-484F-B06A-DDD6E7B14D30}">
  <sheetPr codeName="Sheet9"/>
  <dimension ref="B4:J22"/>
  <sheetViews>
    <sheetView showGridLines="0" zoomScale="85" zoomScaleNormal="85" workbookViewId="0">
      <selection activeCell="C22" sqref="C22"/>
    </sheetView>
  </sheetViews>
  <sheetFormatPr defaultRowHeight="15" x14ac:dyDescent="0.25"/>
  <cols>
    <col min="1" max="1" width="2.7109375" customWidth="1"/>
    <col min="2" max="2" width="25" style="2" bestFit="1" customWidth="1"/>
    <col min="3" max="3" width="13.85546875" bestFit="1" customWidth="1"/>
    <col min="4" max="4" width="13.42578125" customWidth="1"/>
    <col min="5" max="5" width="12.7109375" bestFit="1" customWidth="1"/>
    <col min="6" max="6" width="17.5703125" bestFit="1" customWidth="1"/>
    <col min="7" max="7" width="18.28515625" bestFit="1" customWidth="1"/>
    <col min="8" max="8" width="12.5703125" customWidth="1"/>
    <col min="9" max="9" width="25" bestFit="1" customWidth="1"/>
    <col min="10" max="10" width="84.5703125" bestFit="1" customWidth="1"/>
  </cols>
  <sheetData>
    <row r="4" spans="2:10" x14ac:dyDescent="0.25">
      <c r="B4" s="3" t="s">
        <v>380</v>
      </c>
      <c r="C4" s="3" t="s">
        <v>333</v>
      </c>
      <c r="D4" s="3" t="s">
        <v>331</v>
      </c>
      <c r="E4" s="3" t="s">
        <v>381</v>
      </c>
      <c r="F4" s="3" t="s">
        <v>338</v>
      </c>
      <c r="G4" s="3" t="s">
        <v>337</v>
      </c>
      <c r="H4" s="3" t="s">
        <v>359</v>
      </c>
      <c r="I4" s="3" t="s">
        <v>362</v>
      </c>
      <c r="J4" s="3" t="s">
        <v>302</v>
      </c>
    </row>
    <row r="5" spans="2:10" x14ac:dyDescent="0.25">
      <c r="B5" s="9" t="s">
        <v>376</v>
      </c>
      <c r="C5" s="4">
        <v>101101</v>
      </c>
      <c r="D5" s="6" t="str">
        <f>_xlfn.IFNA(_xlfn.TEXTAFTER(LEVEL10[[#This Row],[EMIAIL]],"@"),"NULL")</f>
        <v>asri.co.id</v>
      </c>
      <c r="E5" s="6" t="s">
        <v>336</v>
      </c>
      <c r="F5" s="11" t="s">
        <v>375</v>
      </c>
      <c r="G5" s="6" t="s">
        <v>336</v>
      </c>
      <c r="H5" s="5" t="s">
        <v>361</v>
      </c>
      <c r="I5" s="9" t="str">
        <f>LEVEL10[[#This Row],[EMIAIL]]</f>
        <v>admin@asri.co.id</v>
      </c>
      <c r="J5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('admin@asri.co.id',101101,'asri.co.id','NULL','Microsoft Office 365','NULL','DEACTIVED'),</v>
      </c>
    </row>
    <row r="6" spans="2:10" x14ac:dyDescent="0.25">
      <c r="B6" s="10" t="s">
        <v>316</v>
      </c>
      <c r="C6" s="4">
        <v>180362</v>
      </c>
      <c r="D6" s="1" t="str">
        <f>_xlfn.IFNA(_xlfn.TEXTAFTER(LEVEL10[[#This Row],[EMIAIL]],"@"),"NULL")</f>
        <v>asri.co.id</v>
      </c>
      <c r="E6" s="1" t="s">
        <v>335</v>
      </c>
      <c r="F6" s="12" t="s">
        <v>375</v>
      </c>
      <c r="G6" s="1" t="s">
        <v>339</v>
      </c>
      <c r="H6" s="4" t="s">
        <v>360</v>
      </c>
      <c r="I6" s="10" t="str">
        <f>LEVEL10[[#This Row],[EMIAIL]]</f>
        <v>ariya.ramsi@asri.co.id</v>
      </c>
      <c r="J6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('ariya.ramsi@asri.co.id',180362,'asri.co.id','USER','Microsoft Office 365','STANDARD','ACTIVED'),</v>
      </c>
    </row>
    <row r="7" spans="2:10" x14ac:dyDescent="0.25">
      <c r="B7" s="10" t="s">
        <v>317</v>
      </c>
      <c r="C7" s="4">
        <v>220290</v>
      </c>
      <c r="D7" s="1" t="str">
        <f>_xlfn.IFNA(_xlfn.TEXTAFTER(LEVEL10[[#This Row],[EMIAIL]],"@"),"NULL")</f>
        <v>asri.co.id</v>
      </c>
      <c r="E7" s="1" t="s">
        <v>335</v>
      </c>
      <c r="F7" s="12" t="s">
        <v>375</v>
      </c>
      <c r="G7" s="1" t="s">
        <v>339</v>
      </c>
      <c r="H7" s="4" t="s">
        <v>360</v>
      </c>
      <c r="I7" s="10" t="str">
        <f>LEVEL10[[#This Row],[EMIAIL]]</f>
        <v>albin.wangsa@asri.co.id</v>
      </c>
      <c r="J7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('albin.wangsa@asri.co.id',220290,'asri.co.id','USER','Microsoft Office 365','STANDARD','ACTIVED'),</v>
      </c>
    </row>
    <row r="8" spans="2:10" x14ac:dyDescent="0.25">
      <c r="B8" s="10" t="s">
        <v>318</v>
      </c>
      <c r="C8" s="4">
        <v>221284</v>
      </c>
      <c r="D8" s="1" t="str">
        <f>_xlfn.IFNA(_xlfn.TEXTAFTER(LEVEL10[[#This Row],[EMIAIL]],"@"),"NULL")</f>
        <v>asri.co.id</v>
      </c>
      <c r="E8" s="1" t="s">
        <v>335</v>
      </c>
      <c r="F8" s="12" t="s">
        <v>375</v>
      </c>
      <c r="G8" s="1" t="s">
        <v>339</v>
      </c>
      <c r="H8" s="4" t="s">
        <v>360</v>
      </c>
      <c r="I8" s="10" t="str">
        <f>LEVEL10[[#This Row],[EMIAIL]]</f>
        <v>aldo.wowor@asri.co.id</v>
      </c>
      <c r="J8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('aldo.wowor@asri.co.id',221284,'asri.co.id','USER','Microsoft Office 365','STANDARD','ACTIVED'),</v>
      </c>
    </row>
    <row r="9" spans="2:10" x14ac:dyDescent="0.25">
      <c r="B9" s="10" t="s">
        <v>315</v>
      </c>
      <c r="C9" s="4">
        <v>221489</v>
      </c>
      <c r="D9" s="1" t="str">
        <f>_xlfn.IFNA(_xlfn.TEXTAFTER(LEVEL10[[#This Row],[EMIAIL]],"@"),"NULL")</f>
        <v>asri.co.id</v>
      </c>
      <c r="E9" s="1" t="s">
        <v>335</v>
      </c>
      <c r="F9" s="12" t="s">
        <v>375</v>
      </c>
      <c r="G9" s="1" t="s">
        <v>339</v>
      </c>
      <c r="H9" s="4" t="s">
        <v>360</v>
      </c>
      <c r="I9" s="10" t="str">
        <f>LEVEL10[[#This Row],[EMIAIL]]</f>
        <v>degia.parlopa@asri.co.id</v>
      </c>
      <c r="J9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('degia.parlopa@asri.co.id',221489,'asri.co.id','USER','Microsoft Office 365','STANDARD','ACTIVED'),</v>
      </c>
    </row>
    <row r="10" spans="2:10" x14ac:dyDescent="0.25">
      <c r="B10" s="10" t="s">
        <v>319</v>
      </c>
      <c r="C10" s="4">
        <v>231399</v>
      </c>
      <c r="D10" s="1" t="str">
        <f>_xlfn.IFNA(_xlfn.TEXTAFTER(LEVEL10[[#This Row],[EMIAIL]],"@"),"NULL")</f>
        <v>asri.co.id</v>
      </c>
      <c r="E10" s="1" t="s">
        <v>335</v>
      </c>
      <c r="F10" s="12" t="s">
        <v>375</v>
      </c>
      <c r="G10" s="1" t="s">
        <v>339</v>
      </c>
      <c r="H10" s="4" t="s">
        <v>360</v>
      </c>
      <c r="I10" s="10" t="str">
        <f>LEVEL10[[#This Row],[EMIAIL]]</f>
        <v>fransiskus.simson@asri.co.id</v>
      </c>
      <c r="J10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('fransiskus.simson@asri.co.id',231399,'asri.co.id','USER','Microsoft Office 365','STANDARD','ACTIVED'),</v>
      </c>
    </row>
    <row r="11" spans="2:10" x14ac:dyDescent="0.25">
      <c r="B11" s="10" t="s">
        <v>320</v>
      </c>
      <c r="C11" s="4">
        <v>180426</v>
      </c>
      <c r="D11" s="1" t="str">
        <f>_xlfn.IFNA(_xlfn.TEXTAFTER(LEVEL10[[#This Row],[EMIAIL]],"@"),"NULL")</f>
        <v>asri.co.id</v>
      </c>
      <c r="E11" s="1" t="s">
        <v>335</v>
      </c>
      <c r="F11" s="12" t="s">
        <v>375</v>
      </c>
      <c r="G11" s="1" t="s">
        <v>339</v>
      </c>
      <c r="H11" s="4" t="s">
        <v>360</v>
      </c>
      <c r="I11" s="10" t="str">
        <f>LEVEL10[[#This Row],[EMIAIL]]</f>
        <v>hardi.wasisto@asri.co.id</v>
      </c>
      <c r="J11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('hardi.wasisto@asri.co.id',180426,'asri.co.id','USER','Microsoft Office 365','STANDARD','ACTIVED'),</v>
      </c>
    </row>
    <row r="12" spans="2:10" x14ac:dyDescent="0.25">
      <c r="B12" s="10" t="s">
        <v>321</v>
      </c>
      <c r="C12" s="4">
        <v>241681</v>
      </c>
      <c r="D12" s="1" t="str">
        <f>_xlfn.IFNA(_xlfn.TEXTAFTER(LEVEL10[[#This Row],[EMIAIL]],"@"),"NULL")</f>
        <v>asri.co.id</v>
      </c>
      <c r="E12" s="1" t="s">
        <v>335</v>
      </c>
      <c r="F12" s="12" t="s">
        <v>375</v>
      </c>
      <c r="G12" s="1" t="s">
        <v>339</v>
      </c>
      <c r="H12" s="4" t="s">
        <v>360</v>
      </c>
      <c r="I12" s="10" t="str">
        <f>LEVEL10[[#This Row],[EMIAIL]]</f>
        <v>irfan.suparman@asri.co.id</v>
      </c>
      <c r="J12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('irfan.suparman@asri.co.id',241681,'asri.co.id','USER','Microsoft Office 365','STANDARD','ACTIVED'),</v>
      </c>
    </row>
    <row r="13" spans="2:10" x14ac:dyDescent="0.25">
      <c r="B13" s="10" t="s">
        <v>322</v>
      </c>
      <c r="C13" s="4">
        <v>232054</v>
      </c>
      <c r="D13" s="1" t="str">
        <f>_xlfn.IFNA(_xlfn.TEXTAFTER(LEVEL10[[#This Row],[EMIAIL]],"@"),"NULL")</f>
        <v>asri.co.id</v>
      </c>
      <c r="E13" s="1" t="s">
        <v>335</v>
      </c>
      <c r="F13" s="12" t="s">
        <v>375</v>
      </c>
      <c r="G13" s="1" t="s">
        <v>339</v>
      </c>
      <c r="H13" s="4" t="s">
        <v>360</v>
      </c>
      <c r="I13" s="10" t="str">
        <f>LEVEL10[[#This Row],[EMIAIL]]</f>
        <v>moh.ramadhan@asri.co.id</v>
      </c>
      <c r="J13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('moh.ramadhan@asri.co.id',232054,'asri.co.id','USER','Microsoft Office 365','STANDARD','ACTIVED'),</v>
      </c>
    </row>
    <row r="14" spans="2:10" x14ac:dyDescent="0.25">
      <c r="B14" s="10" t="s">
        <v>323</v>
      </c>
      <c r="C14" s="4">
        <v>100822</v>
      </c>
      <c r="D14" s="1" t="str">
        <f>_xlfn.IFNA(_xlfn.TEXTAFTER(LEVEL10[[#This Row],[EMIAIL]],"@"),"NULL")</f>
        <v>asri.co.id</v>
      </c>
      <c r="E14" s="1" t="s">
        <v>335</v>
      </c>
      <c r="F14" s="12" t="s">
        <v>375</v>
      </c>
      <c r="G14" s="1" t="s">
        <v>339</v>
      </c>
      <c r="H14" s="4" t="s">
        <v>360</v>
      </c>
      <c r="I14" s="10" t="str">
        <f>LEVEL10[[#This Row],[EMIAIL]]</f>
        <v>johari.johari@asri.co.id</v>
      </c>
      <c r="J14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('johari.johari@asri.co.id',100822,'asri.co.id','USER','Microsoft Office 365','STANDARD','ACTIVED'),</v>
      </c>
    </row>
    <row r="15" spans="2:10" x14ac:dyDescent="0.25">
      <c r="B15" s="10" t="s">
        <v>324</v>
      </c>
      <c r="C15" s="4">
        <v>150821</v>
      </c>
      <c r="D15" s="1" t="str">
        <f>_xlfn.IFNA(_xlfn.TEXTAFTER(LEVEL10[[#This Row],[EMIAIL]],"@"),"NULL")</f>
        <v>asri.co.id</v>
      </c>
      <c r="E15" s="1" t="s">
        <v>335</v>
      </c>
      <c r="F15" s="12" t="s">
        <v>375</v>
      </c>
      <c r="G15" s="1" t="s">
        <v>339</v>
      </c>
      <c r="H15" s="4" t="s">
        <v>360</v>
      </c>
      <c r="I15" s="10" t="str">
        <f>LEVEL10[[#This Row],[EMIAIL]]</f>
        <v>candra.segren@asri.co.id</v>
      </c>
      <c r="J15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('candra.segren@asri.co.id',150821,'asri.co.id','USER','Microsoft Office 365','STANDARD','ACTIVED'),</v>
      </c>
    </row>
    <row r="16" spans="2:10" x14ac:dyDescent="0.25">
      <c r="B16" s="10" t="s">
        <v>325</v>
      </c>
      <c r="C16" s="4">
        <v>241815</v>
      </c>
      <c r="D16" s="1" t="str">
        <f>_xlfn.IFNA(_xlfn.TEXTAFTER(LEVEL10[[#This Row],[EMIAIL]],"@"),"NULL")</f>
        <v>asri.co.id</v>
      </c>
      <c r="E16" s="1" t="s">
        <v>335</v>
      </c>
      <c r="F16" s="12" t="s">
        <v>375</v>
      </c>
      <c r="G16" s="1" t="s">
        <v>339</v>
      </c>
      <c r="H16" s="4" t="s">
        <v>360</v>
      </c>
      <c r="I16" s="10" t="str">
        <f>LEVEL10[[#This Row],[EMIAIL]]</f>
        <v>patrick.lay@asri.co.id</v>
      </c>
      <c r="J16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('patrick.lay@asri.co.id',241815,'asri.co.id','USER','Microsoft Office 365','STANDARD','ACTIVED'),</v>
      </c>
    </row>
    <row r="17" spans="2:10" x14ac:dyDescent="0.25">
      <c r="B17" s="10" t="s">
        <v>326</v>
      </c>
      <c r="C17" s="4">
        <v>250528</v>
      </c>
      <c r="D17" s="1" t="str">
        <f>_xlfn.IFNA(_xlfn.TEXTAFTER(LEVEL10[[#This Row],[EMIAIL]],"@"),"NULL")</f>
        <v>asri.co.id</v>
      </c>
      <c r="E17" s="1" t="s">
        <v>335</v>
      </c>
      <c r="F17" s="12" t="s">
        <v>375</v>
      </c>
      <c r="G17" s="1" t="s">
        <v>339</v>
      </c>
      <c r="H17" s="4" t="s">
        <v>360</v>
      </c>
      <c r="I17" s="10" t="str">
        <f>LEVEL10[[#This Row],[EMIAIL]]</f>
        <v>sarah.durry@asri.co.id</v>
      </c>
      <c r="J17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('sarah.durry@asri.co.id',250528,'asri.co.id','USER','Microsoft Office 365','STANDARD','ACTIVED'),</v>
      </c>
    </row>
    <row r="18" spans="2:10" x14ac:dyDescent="0.25">
      <c r="B18" s="10" t="s">
        <v>327</v>
      </c>
      <c r="C18" s="4">
        <v>250501</v>
      </c>
      <c r="D18" s="1" t="str">
        <f>_xlfn.IFNA(_xlfn.TEXTAFTER(LEVEL10[[#This Row],[EMIAIL]],"@"),"NULL")</f>
        <v>asri.co.id</v>
      </c>
      <c r="E18" s="1" t="s">
        <v>335</v>
      </c>
      <c r="F18" s="12" t="s">
        <v>375</v>
      </c>
      <c r="G18" s="1" t="s">
        <v>339</v>
      </c>
      <c r="H18" s="4" t="s">
        <v>360</v>
      </c>
      <c r="I18" s="10" t="str">
        <f>LEVEL10[[#This Row],[EMIAIL]]</f>
        <v>thoyyib.abdillah@asri.co.id</v>
      </c>
      <c r="J18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('thoyyib.abdillah@asri.co.id',250501,'asri.co.id','USER','Microsoft Office 365','STANDARD','ACTIVED'),</v>
      </c>
    </row>
    <row r="19" spans="2:10" x14ac:dyDescent="0.25">
      <c r="B19" s="10" t="s">
        <v>328</v>
      </c>
      <c r="C19" s="4">
        <v>240287</v>
      </c>
      <c r="D19" s="1" t="str">
        <f>_xlfn.IFNA(_xlfn.TEXTAFTER(LEVEL10[[#This Row],[EMIAIL]],"@"),"NULL")</f>
        <v>asri.co.id</v>
      </c>
      <c r="E19" s="1" t="s">
        <v>335</v>
      </c>
      <c r="F19" s="12" t="s">
        <v>375</v>
      </c>
      <c r="G19" s="1" t="s">
        <v>339</v>
      </c>
      <c r="H19" s="4" t="s">
        <v>360</v>
      </c>
      <c r="I19" s="10" t="str">
        <f>LEVEL10[[#This Row],[EMIAIL]]</f>
        <v>johnson.lopulisa@asri.co.id</v>
      </c>
      <c r="J19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('johnson.lopulisa@asri.co.id',240287,'asri.co.id','USER','Microsoft Office 365','STANDARD','ACTIVED'),</v>
      </c>
    </row>
    <row r="20" spans="2:10" x14ac:dyDescent="0.25">
      <c r="B20" s="10" t="s">
        <v>329</v>
      </c>
      <c r="C20" s="4">
        <v>220909</v>
      </c>
      <c r="D20" s="1" t="str">
        <f>_xlfn.IFNA(_xlfn.TEXTAFTER(LEVEL10[[#This Row],[EMIAIL]],"@"),"NULL")</f>
        <v>asri.co.id</v>
      </c>
      <c r="E20" s="1" t="s">
        <v>335</v>
      </c>
      <c r="F20" s="12" t="s">
        <v>375</v>
      </c>
      <c r="G20" s="1" t="s">
        <v>339</v>
      </c>
      <c r="H20" s="4" t="s">
        <v>360</v>
      </c>
      <c r="I20" s="10" t="str">
        <f>LEVEL10[[#This Row],[EMIAIL]]</f>
        <v>wilson.wilson@asri.co.id</v>
      </c>
      <c r="J20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('wilson.wilson@asri.co.id',220909,'asri.co.id','USER','Microsoft Office 365','STANDARD','ACTIVED'),</v>
      </c>
    </row>
    <row r="21" spans="2:10" x14ac:dyDescent="0.25">
      <c r="B21" s="10" t="s">
        <v>330</v>
      </c>
      <c r="C21" s="4">
        <v>240763</v>
      </c>
      <c r="D21" s="1" t="str">
        <f>_xlfn.IFNA(_xlfn.TEXTAFTER(LEVEL10[[#This Row],[EMIAIL]],"@"),"NULL")</f>
        <v>asri.co.id</v>
      </c>
      <c r="E21" s="1" t="s">
        <v>335</v>
      </c>
      <c r="F21" s="12" t="s">
        <v>375</v>
      </c>
      <c r="G21" s="1" t="s">
        <v>339</v>
      </c>
      <c r="H21" s="4" t="s">
        <v>360</v>
      </c>
      <c r="I21" s="10" t="str">
        <f>LEVEL10[[#This Row],[EMIAIL]]</f>
        <v>wuwanjie.septian@asri.co.id</v>
      </c>
      <c r="J21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('wuwanjie.septian@asri.co.id',240763,'asri.co.id','USER','Microsoft Office 365','STANDARD','ACTIVED'),</v>
      </c>
    </row>
    <row r="22" spans="2:10" x14ac:dyDescent="0.25">
      <c r="B22" s="10" t="s">
        <v>383</v>
      </c>
      <c r="C22" s="4">
        <v>999999</v>
      </c>
      <c r="D22" s="1"/>
      <c r="E22" s="1"/>
      <c r="F22" s="12"/>
      <c r="G22" s="1"/>
      <c r="H22" s="4"/>
      <c r="I22" s="10" t="str">
        <f>LEVEL10[[#This Row],[EMIAIL]]</f>
        <v>nomail</v>
      </c>
      <c r="J22" s="1" t="str">
        <f>"('"&amp;LEVEL10[[#This Row],[EMIAIL]]&amp;"',"&amp;
LEVEL10[[#This Row],[PIC_NIP]]&amp;",'"&amp;
LEVEL10[[#This Row],[DOMAIN]]&amp;"','"&amp;
LEVEL10[[#This Row],[FUNC]]&amp;"','"&amp;
LEVEL10[[#This Row],[TYPE]]&amp;"','"&amp;
LEVEL10[[#This Row],[LICENSE_TYPE]]&amp;"','"&amp;
LEVEL10[[#This Row],[MFA]]&amp;"'),"</f>
        <v>('nomail',999999,'','','','',''),</v>
      </c>
    </row>
  </sheetData>
  <conditionalFormatting sqref="B5:B22"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AE8-298C-4C17-B893-97BE0F80F010}">
  <sheetPr codeName="Sheet10"/>
  <dimension ref="B4:N21"/>
  <sheetViews>
    <sheetView zoomScale="85" zoomScaleNormal="85" workbookViewId="0">
      <selection activeCell="N5" sqref="N5"/>
    </sheetView>
  </sheetViews>
  <sheetFormatPr defaultRowHeight="15" x14ac:dyDescent="0.25"/>
  <cols>
    <col min="1" max="1" width="2.7109375" customWidth="1"/>
    <col min="2" max="2" width="25" style="2" bestFit="1" customWidth="1"/>
    <col min="3" max="3" width="11.7109375" style="2" bestFit="1" customWidth="1"/>
    <col min="4" max="4" width="17" bestFit="1" customWidth="1"/>
    <col min="5" max="5" width="15.5703125" bestFit="1" customWidth="1"/>
    <col min="6" max="7" width="17.140625" bestFit="1" customWidth="1"/>
    <col min="8" max="8" width="18.42578125" bestFit="1" customWidth="1"/>
    <col min="9" max="9" width="21" bestFit="1" customWidth="1"/>
    <col min="10" max="10" width="21" customWidth="1"/>
    <col min="11" max="11" width="21" bestFit="1" customWidth="1"/>
    <col min="12" max="12" width="21" customWidth="1"/>
    <col min="13" max="13" width="15.5703125" bestFit="1" customWidth="1"/>
    <col min="14" max="14" width="64.7109375" bestFit="1" customWidth="1"/>
  </cols>
  <sheetData>
    <row r="4" spans="2:14" x14ac:dyDescent="0.25">
      <c r="B4" s="3" t="s">
        <v>314</v>
      </c>
      <c r="C4" s="3" t="s">
        <v>373</v>
      </c>
      <c r="D4" s="3" t="s">
        <v>363</v>
      </c>
      <c r="E4" s="3" t="s">
        <v>333</v>
      </c>
      <c r="F4" s="3" t="s">
        <v>368</v>
      </c>
      <c r="G4" s="3" t="s">
        <v>366</v>
      </c>
      <c r="H4" s="3" t="s">
        <v>367</v>
      </c>
      <c r="I4" s="3" t="s">
        <v>364</v>
      </c>
      <c r="J4" s="3" t="s">
        <v>378</v>
      </c>
      <c r="K4" s="3" t="s">
        <v>365</v>
      </c>
      <c r="L4" s="3" t="s">
        <v>379</v>
      </c>
      <c r="M4" s="3" t="s">
        <v>362</v>
      </c>
      <c r="N4" s="3" t="s">
        <v>302</v>
      </c>
    </row>
    <row r="5" spans="2:14" x14ac:dyDescent="0.25">
      <c r="B5" s="9" t="s">
        <v>371</v>
      </c>
      <c r="C5" s="16" t="s">
        <v>372</v>
      </c>
      <c r="D5" s="16" t="s">
        <v>374</v>
      </c>
      <c r="E5" s="5">
        <v>101101</v>
      </c>
      <c r="F5" s="5" t="s">
        <v>369</v>
      </c>
      <c r="G5" s="5" t="s">
        <v>8</v>
      </c>
      <c r="H5" s="6" t="s">
        <v>377</v>
      </c>
      <c r="I5" s="15">
        <v>45941</v>
      </c>
      <c r="J5" s="15"/>
      <c r="K5" s="15">
        <v>45941</v>
      </c>
      <c r="L5" s="15"/>
      <c r="M5" s="9"/>
      <c r="N5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('administrator','6d6a7369746d6f69','101101','YESNOSU-ADMIN4594145941'),</v>
      </c>
    </row>
    <row r="6" spans="2:14" x14ac:dyDescent="0.25">
      <c r="B6" s="10" t="s">
        <v>344</v>
      </c>
      <c r="C6" s="17"/>
      <c r="D6" s="17"/>
      <c r="E6" s="4">
        <v>180362</v>
      </c>
      <c r="F6" s="4" t="s">
        <v>369</v>
      </c>
      <c r="G6" s="4" t="s">
        <v>369</v>
      </c>
      <c r="H6" s="1" t="s">
        <v>335</v>
      </c>
      <c r="I6" s="8">
        <v>45941</v>
      </c>
      <c r="J6" s="8"/>
      <c r="K6" s="8">
        <v>45941</v>
      </c>
      <c r="L6" s="8"/>
      <c r="M6" s="10"/>
      <c r="N6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('ariya.ramsi','','180362','YESYESUSER4594145941'),</v>
      </c>
    </row>
    <row r="7" spans="2:14" x14ac:dyDescent="0.25">
      <c r="B7" s="10" t="s">
        <v>348</v>
      </c>
      <c r="C7" s="17"/>
      <c r="D7" s="17"/>
      <c r="E7" s="4">
        <v>220290</v>
      </c>
      <c r="F7" s="4" t="s">
        <v>8</v>
      </c>
      <c r="G7" s="4" t="s">
        <v>369</v>
      </c>
      <c r="H7" s="1" t="s">
        <v>335</v>
      </c>
      <c r="I7" s="8">
        <v>45941</v>
      </c>
      <c r="J7" s="8"/>
      <c r="K7" s="8">
        <v>45941</v>
      </c>
      <c r="L7" s="8"/>
      <c r="M7" s="10"/>
      <c r="N7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('albin.wangsa','','220290','NOYESUSER4594145941'),</v>
      </c>
    </row>
    <row r="8" spans="2:14" x14ac:dyDescent="0.25">
      <c r="B8" s="10" t="s">
        <v>350</v>
      </c>
      <c r="C8" s="17"/>
      <c r="D8" s="17"/>
      <c r="E8" s="4">
        <v>221284</v>
      </c>
      <c r="F8" s="4" t="s">
        <v>8</v>
      </c>
      <c r="G8" s="4" t="s">
        <v>369</v>
      </c>
      <c r="H8" s="1" t="s">
        <v>370</v>
      </c>
      <c r="I8" s="8">
        <v>45941</v>
      </c>
      <c r="J8" s="8"/>
      <c r="K8" s="8">
        <v>45941</v>
      </c>
      <c r="L8" s="8"/>
      <c r="M8" s="10"/>
      <c r="N8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('aldo.wowor','','221284','NOYESADMINISTRATOR4594145941'),</v>
      </c>
    </row>
    <row r="9" spans="2:14" x14ac:dyDescent="0.25">
      <c r="B9" s="10" t="s">
        <v>352</v>
      </c>
      <c r="C9" s="17"/>
      <c r="D9" s="17"/>
      <c r="E9" s="4">
        <v>221489</v>
      </c>
      <c r="F9" s="4" t="s">
        <v>8</v>
      </c>
      <c r="G9" s="4" t="s">
        <v>369</v>
      </c>
      <c r="H9" s="1" t="s">
        <v>335</v>
      </c>
      <c r="I9" s="8">
        <v>45941</v>
      </c>
      <c r="J9" s="8"/>
      <c r="K9" s="8">
        <v>45941</v>
      </c>
      <c r="L9" s="8"/>
      <c r="M9" s="10"/>
      <c r="N9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('degia.parlopa','','221489','NOYESUSER4594145941'),</v>
      </c>
    </row>
    <row r="10" spans="2:14" x14ac:dyDescent="0.25">
      <c r="B10" s="10" t="s">
        <v>353</v>
      </c>
      <c r="C10" s="17"/>
      <c r="D10" s="17"/>
      <c r="E10" s="4">
        <v>231399</v>
      </c>
      <c r="F10" s="4" t="s">
        <v>8</v>
      </c>
      <c r="G10" s="4" t="s">
        <v>369</v>
      </c>
      <c r="H10" s="1" t="s">
        <v>335</v>
      </c>
      <c r="I10" s="8">
        <v>45941</v>
      </c>
      <c r="J10" s="8"/>
      <c r="K10" s="8">
        <v>45941</v>
      </c>
      <c r="L10" s="8"/>
      <c r="M10" s="10"/>
      <c r="N10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('fransiskus.simson','','231399','NOYESUSER4594145941'),</v>
      </c>
    </row>
    <row r="11" spans="2:14" x14ac:dyDescent="0.25">
      <c r="B11" s="10" t="s">
        <v>349</v>
      </c>
      <c r="C11" s="17"/>
      <c r="D11" s="17"/>
      <c r="E11" s="4">
        <v>180426</v>
      </c>
      <c r="F11" s="4" t="s">
        <v>8</v>
      </c>
      <c r="G11" s="4" t="s">
        <v>369</v>
      </c>
      <c r="H11" s="1" t="s">
        <v>370</v>
      </c>
      <c r="I11" s="8">
        <v>45941</v>
      </c>
      <c r="J11" s="8"/>
      <c r="K11" s="8">
        <v>45941</v>
      </c>
      <c r="L11" s="8"/>
      <c r="M11" s="10"/>
      <c r="N11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('hardi.wasisto','','180426','NOYESADMINISTRATOR4594145941'),</v>
      </c>
    </row>
    <row r="12" spans="2:14" x14ac:dyDescent="0.25">
      <c r="B12" s="10" t="s">
        <v>354</v>
      </c>
      <c r="C12" s="17"/>
      <c r="D12" s="17"/>
      <c r="E12" s="4">
        <v>241681</v>
      </c>
      <c r="F12" s="4" t="s">
        <v>8</v>
      </c>
      <c r="G12" s="4" t="s">
        <v>369</v>
      </c>
      <c r="H12" s="1" t="s">
        <v>335</v>
      </c>
      <c r="I12" s="8">
        <v>45941</v>
      </c>
      <c r="J12" s="8"/>
      <c r="K12" s="8">
        <v>45941</v>
      </c>
      <c r="L12" s="8"/>
      <c r="M12" s="10"/>
      <c r="N12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('irfan.suparman','','241681','NOYESUSER4594145941'),</v>
      </c>
    </row>
    <row r="13" spans="2:14" x14ac:dyDescent="0.25">
      <c r="B13" s="10" t="s">
        <v>357</v>
      </c>
      <c r="C13" s="17"/>
      <c r="D13" s="17"/>
      <c r="E13" s="4">
        <v>232054</v>
      </c>
      <c r="F13" s="4" t="s">
        <v>8</v>
      </c>
      <c r="G13" s="4" t="s">
        <v>369</v>
      </c>
      <c r="H13" s="1" t="s">
        <v>335</v>
      </c>
      <c r="I13" s="8">
        <v>45941</v>
      </c>
      <c r="J13" s="8"/>
      <c r="K13" s="8">
        <v>45941</v>
      </c>
      <c r="L13" s="8"/>
      <c r="M13" s="10"/>
      <c r="N13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('moh.ramadhan','','232054','NOYESUSER4594145941'),</v>
      </c>
    </row>
    <row r="14" spans="2:14" x14ac:dyDescent="0.25">
      <c r="B14" s="10" t="s">
        <v>351</v>
      </c>
      <c r="C14" s="17"/>
      <c r="D14" s="17"/>
      <c r="E14" s="4">
        <v>100822</v>
      </c>
      <c r="F14" s="4" t="s">
        <v>8</v>
      </c>
      <c r="G14" s="4" t="s">
        <v>369</v>
      </c>
      <c r="H14" s="1" t="s">
        <v>335</v>
      </c>
      <c r="I14" s="8">
        <v>45941</v>
      </c>
      <c r="J14" s="8"/>
      <c r="K14" s="8">
        <v>45941</v>
      </c>
      <c r="L14" s="8"/>
      <c r="M14" s="10"/>
      <c r="N14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('johari.johari','','100822','NOYESUSER4594145941'),</v>
      </c>
    </row>
    <row r="15" spans="2:14" x14ac:dyDescent="0.25">
      <c r="B15" s="10" t="s">
        <v>347</v>
      </c>
      <c r="C15" s="17"/>
      <c r="D15" s="17"/>
      <c r="E15" s="4">
        <v>150821</v>
      </c>
      <c r="F15" s="4" t="s">
        <v>8</v>
      </c>
      <c r="G15" s="4" t="s">
        <v>369</v>
      </c>
      <c r="H15" s="1" t="s">
        <v>370</v>
      </c>
      <c r="I15" s="8">
        <v>45941</v>
      </c>
      <c r="J15" s="8"/>
      <c r="K15" s="8">
        <v>45941</v>
      </c>
      <c r="L15" s="8"/>
      <c r="M15" s="10"/>
      <c r="N15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('candra.segren','','150821','NOYESADMINISTRATOR4594145941'),</v>
      </c>
    </row>
    <row r="16" spans="2:14" x14ac:dyDescent="0.25">
      <c r="B16" s="10" t="s">
        <v>355</v>
      </c>
      <c r="C16" s="17"/>
      <c r="D16" s="17"/>
      <c r="E16" s="4">
        <v>241815</v>
      </c>
      <c r="F16" s="4" t="s">
        <v>8</v>
      </c>
      <c r="G16" s="4" t="s">
        <v>369</v>
      </c>
      <c r="H16" s="1" t="s">
        <v>335</v>
      </c>
      <c r="I16" s="8">
        <v>45941</v>
      </c>
      <c r="J16" s="8"/>
      <c r="K16" s="8">
        <v>45941</v>
      </c>
      <c r="L16" s="8"/>
      <c r="M16" s="10"/>
      <c r="N16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('patrick.lay','','241815','NOYESUSER4594145941'),</v>
      </c>
    </row>
    <row r="17" spans="2:14" x14ac:dyDescent="0.25">
      <c r="B17" s="10" t="s">
        <v>358</v>
      </c>
      <c r="C17" s="17"/>
      <c r="D17" s="17"/>
      <c r="E17" s="4">
        <v>250528</v>
      </c>
      <c r="F17" s="4" t="s">
        <v>8</v>
      </c>
      <c r="G17" s="4" t="s">
        <v>369</v>
      </c>
      <c r="H17" s="1" t="s">
        <v>370</v>
      </c>
      <c r="I17" s="8">
        <v>45941</v>
      </c>
      <c r="J17" s="8"/>
      <c r="K17" s="8">
        <v>45941</v>
      </c>
      <c r="L17" s="8"/>
      <c r="M17" s="10"/>
      <c r="N17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('sarah.durry','','250528','NOYESADMINISTRATOR4594145941'),</v>
      </c>
    </row>
    <row r="18" spans="2:14" x14ac:dyDescent="0.25">
      <c r="B18" s="10" t="s">
        <v>356</v>
      </c>
      <c r="C18" s="17"/>
      <c r="D18" s="17"/>
      <c r="E18" s="4">
        <v>250501</v>
      </c>
      <c r="F18" s="4" t="s">
        <v>8</v>
      </c>
      <c r="G18" s="4" t="s">
        <v>369</v>
      </c>
      <c r="H18" s="1" t="s">
        <v>335</v>
      </c>
      <c r="I18" s="8">
        <v>45941</v>
      </c>
      <c r="J18" s="8"/>
      <c r="K18" s="8">
        <v>45941</v>
      </c>
      <c r="L18" s="8"/>
      <c r="M18" s="10"/>
      <c r="N18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('thoyyib.abdillah','','250501','NOYESUSER4594145941'),</v>
      </c>
    </row>
    <row r="19" spans="2:14" x14ac:dyDescent="0.25">
      <c r="B19" s="10" t="s">
        <v>343</v>
      </c>
      <c r="C19" s="17"/>
      <c r="D19" s="17"/>
      <c r="E19" s="4">
        <v>240287</v>
      </c>
      <c r="F19" s="4" t="s">
        <v>8</v>
      </c>
      <c r="G19" s="4" t="s">
        <v>369</v>
      </c>
      <c r="H19" s="1" t="s">
        <v>370</v>
      </c>
      <c r="I19" s="8">
        <v>45941</v>
      </c>
      <c r="J19" s="8"/>
      <c r="K19" s="8">
        <v>45941</v>
      </c>
      <c r="L19" s="8"/>
      <c r="M19" s="10"/>
      <c r="N19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('johnson.lopulisa','','240287','NOYESADMINISTRATOR4594145941'),</v>
      </c>
    </row>
    <row r="20" spans="2:14" x14ac:dyDescent="0.25">
      <c r="B20" s="10" t="s">
        <v>346</v>
      </c>
      <c r="C20" s="17"/>
      <c r="D20" s="17"/>
      <c r="E20" s="4">
        <v>220909</v>
      </c>
      <c r="F20" s="4" t="s">
        <v>8</v>
      </c>
      <c r="G20" s="4" t="s">
        <v>369</v>
      </c>
      <c r="H20" s="1" t="s">
        <v>370</v>
      </c>
      <c r="I20" s="8">
        <v>45941</v>
      </c>
      <c r="J20" s="8"/>
      <c r="K20" s="8">
        <v>45941</v>
      </c>
      <c r="L20" s="8"/>
      <c r="M20" s="10"/>
      <c r="N20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('wilson.wilson','','220909','NOYESADMINISTRATOR4594145941'),</v>
      </c>
    </row>
    <row r="21" spans="2:14" x14ac:dyDescent="0.25">
      <c r="B21" s="10" t="s">
        <v>345</v>
      </c>
      <c r="C21" s="17"/>
      <c r="D21" s="17"/>
      <c r="E21" s="4">
        <v>240763</v>
      </c>
      <c r="F21" s="4" t="s">
        <v>8</v>
      </c>
      <c r="G21" s="4" t="s">
        <v>369</v>
      </c>
      <c r="H21" s="1" t="s">
        <v>370</v>
      </c>
      <c r="I21" s="8">
        <v>45941</v>
      </c>
      <c r="J21" s="8"/>
      <c r="K21" s="8">
        <v>45941</v>
      </c>
      <c r="L21" s="8"/>
      <c r="M21" s="10"/>
      <c r="N21" s="1" t="str">
        <f>"('"&amp;LEVEL1011[[#This Row],[MAIL]]&amp;"','"&amp;
LEVEL1011[[#This Row],[PASSWORD]]&amp;"','"&amp;
LEVEL1011[[#This Row],[PIC_NIP]]&amp;"','"&amp;LEVEL1011[[#This Row],[WST_ACCESS]]&amp;LEVEL1011[[#This Row],[NET_ACCESS]]&amp;LEVEL1011[[#This Row],[SVR_ACCESS]]&amp;LEVEL1011[[#This Row],[CREATE_DATE]]&amp;LEVEL1011[[#This Row],[MODIFIED_DATE]]&amp;
"'),"</f>
        <v>('wuwanjie.septian','','240763','NOYESADMINISTRATOR4594145941'),</v>
      </c>
    </row>
  </sheetData>
  <phoneticPr fontId="3" type="noConversion"/>
  <conditionalFormatting sqref="B5:C21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BCF7-85FC-4A70-932F-5DEDD00AB6DC}">
  <dimension ref="A2:BC19"/>
  <sheetViews>
    <sheetView showGridLines="0"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M13" sqref="M13"/>
    </sheetView>
  </sheetViews>
  <sheetFormatPr defaultRowHeight="15" x14ac:dyDescent="0.25"/>
  <cols>
    <col min="1" max="1" width="2.7109375" customWidth="1"/>
    <col min="2" max="2" width="11.28515625" customWidth="1"/>
    <col min="3" max="3" width="14.42578125" bestFit="1" customWidth="1"/>
    <col min="4" max="4" width="16.42578125" bestFit="1" customWidth="1"/>
    <col min="5" max="5" width="17.28515625" bestFit="1" customWidth="1"/>
    <col min="6" max="6" width="15.5703125" bestFit="1" customWidth="1"/>
    <col min="7" max="7" width="9.42578125" customWidth="1"/>
    <col min="8" max="8" width="12.7109375" bestFit="1" customWidth="1"/>
    <col min="9" max="9" width="14.5703125" customWidth="1"/>
    <col min="10" max="10" width="10.28515625" bestFit="1" customWidth="1"/>
    <col min="11" max="11" width="14.7109375" bestFit="1" customWidth="1"/>
    <col min="12" max="12" width="12.7109375" customWidth="1"/>
    <col min="13" max="13" width="28.42578125" bestFit="1" customWidth="1"/>
    <col min="14" max="14" width="15.7109375" bestFit="1" customWidth="1"/>
    <col min="15" max="15" width="29" bestFit="1" customWidth="1"/>
    <col min="16" max="16" width="15.7109375" bestFit="1" customWidth="1"/>
    <col min="17" max="17" width="34.42578125" bestFit="1" customWidth="1"/>
    <col min="18" max="18" width="13.42578125" customWidth="1"/>
    <col min="19" max="19" width="14.140625" bestFit="1" customWidth="1"/>
    <col min="20" max="20" width="14.140625" customWidth="1"/>
    <col min="21" max="21" width="24.85546875" bestFit="1" customWidth="1"/>
    <col min="22" max="22" width="31.28515625" bestFit="1" customWidth="1"/>
    <col min="23" max="24" width="8" bestFit="1" customWidth="1"/>
    <col min="25" max="25" width="8.85546875" bestFit="1" customWidth="1"/>
    <col min="26" max="26" width="12.42578125" bestFit="1" customWidth="1"/>
    <col min="27" max="27" width="12.85546875" bestFit="1" customWidth="1"/>
    <col min="28" max="28" width="18.7109375" bestFit="1" customWidth="1"/>
    <col min="29" max="29" width="15.140625" bestFit="1" customWidth="1"/>
    <col min="30" max="30" width="15.5703125" bestFit="1" customWidth="1"/>
    <col min="31" max="31" width="14.85546875" bestFit="1" customWidth="1"/>
    <col min="32" max="32" width="15.28515625" bestFit="1" customWidth="1"/>
    <col min="33" max="33" width="14.85546875" bestFit="1" customWidth="1"/>
    <col min="34" max="34" width="9.28515625" bestFit="1" customWidth="1"/>
    <col min="35" max="35" width="14" bestFit="1" customWidth="1"/>
    <col min="36" max="36" width="15.5703125" bestFit="1" customWidth="1"/>
    <col min="37" max="37" width="13.28515625" bestFit="1" customWidth="1"/>
    <col min="38" max="38" width="17.7109375" bestFit="1" customWidth="1"/>
    <col min="39" max="39" width="15.85546875" bestFit="1" customWidth="1"/>
    <col min="40" max="40" width="14.140625" bestFit="1" customWidth="1"/>
    <col min="41" max="41" width="50.7109375" customWidth="1"/>
    <col min="42" max="42" width="14.7109375" bestFit="1" customWidth="1"/>
    <col min="43" max="43" width="50.7109375" customWidth="1"/>
    <col min="44" max="44" width="18.42578125" bestFit="1" customWidth="1"/>
    <col min="45" max="45" width="15" bestFit="1" customWidth="1"/>
    <col min="46" max="46" width="22.42578125" bestFit="1" customWidth="1"/>
    <col min="47" max="47" width="50.7109375" customWidth="1"/>
    <col min="48" max="48" width="14.7109375" bestFit="1" customWidth="1"/>
    <col min="49" max="49" width="15.7109375" bestFit="1" customWidth="1"/>
    <col min="50" max="50" width="15.7109375" style="3" customWidth="1"/>
    <col min="52" max="52" width="22.140625" bestFit="1" customWidth="1"/>
    <col min="53" max="53" width="20.140625" customWidth="1"/>
    <col min="54" max="54" width="255.7109375" hidden="1" customWidth="1"/>
    <col min="55" max="55" width="13.5703125" customWidth="1"/>
  </cols>
  <sheetData>
    <row r="2" spans="1:55" x14ac:dyDescent="0.25">
      <c r="B2" s="4" cm="1">
        <f t="array" ref="B2">MAX(LEN(Table12[ID_ASSET]))</f>
        <v>7</v>
      </c>
      <c r="C2" s="4" cm="1">
        <f t="array" ref="C2">MAX(LEN(Table12[HOSTNAME]))</f>
        <v>13</v>
      </c>
      <c r="D2" s="4" cm="1">
        <f t="array" ref="D2">MAX(LEN(Table12[SN]))</f>
        <v>15</v>
      </c>
      <c r="E2" s="4" cm="1">
        <f t="array" ref="E2">MAX(LEN(Table12[BARCODE]))</f>
        <v>16</v>
      </c>
      <c r="F2" s="4" cm="1">
        <f t="array" ref="F2">MAX(LEN(Table12[CATEGORY]))</f>
        <v>10</v>
      </c>
      <c r="G2" s="4" cm="1">
        <f t="array" ref="G2">MAX(LEN(Table12[BRAND]))</f>
        <v>4</v>
      </c>
      <c r="H2" s="4" cm="1">
        <f t="array" ref="H2">MAX(LEN(Table12[TYPE]))</f>
        <v>14</v>
      </c>
      <c r="I2" s="4" cm="1">
        <f t="array" ref="I2">MAX(LEN(Table12[PROCESSORS]))</f>
        <v>9</v>
      </c>
      <c r="J2" s="4" cm="1">
        <f t="array" ref="J2">MAX(LEN(Table12[GEN]))</f>
        <v>2</v>
      </c>
      <c r="K2" s="4" cm="1">
        <f t="array" ref="K2">MAX(LEN(Table12[RAM_CAP]))</f>
        <v>2</v>
      </c>
      <c r="L2" s="4" cm="1">
        <f t="array" ref="L2">MAX(LEN(Table12[RAM_SLOT]))</f>
        <v>6</v>
      </c>
      <c r="M2" s="4" cm="1">
        <f t="array" ref="M2">MAX(LEN(Table12[RAM_TYPE]))</f>
        <v>30</v>
      </c>
      <c r="N2" s="4" cm="1">
        <f t="array" ref="N2">MAX(LEN(Table12[DISK1_CAP]))</f>
        <v>3</v>
      </c>
      <c r="O2" s="4" cm="1">
        <f t="array" ref="O2">MAX(LEN(Table12[DISK1_TYPE]))</f>
        <v>28</v>
      </c>
      <c r="P2" s="4" cm="1">
        <f t="array" ref="P2">MAX(LEN(Table12[DISK2_CAP]))</f>
        <v>4</v>
      </c>
      <c r="Q2" s="4" cm="1">
        <f t="array" ref="Q2">MAX(LEN(Table12[DISK2_TYPE]))</f>
        <v>32</v>
      </c>
      <c r="R2" s="4" cm="1">
        <f t="array" ref="R2">MAX(LEN(Table12[OS]))</f>
        <v>7</v>
      </c>
      <c r="S2" s="4" cm="1">
        <f t="array" ref="S2">MAX(LEN(Table12[OS_TYPE]))</f>
        <v>14</v>
      </c>
      <c r="T2" s="4" cm="1">
        <f t="array" ref="T2">MAX(LEN(Table12[OS_VER]))</f>
        <v>4</v>
      </c>
      <c r="U2" s="4" cm="1">
        <f t="array" ref="U2">MAX(LEN(Table12[PRODUCT_ID]))</f>
        <v>23</v>
      </c>
      <c r="V2" s="4" cm="1">
        <f t="array" ref="V2">MAX(LEN(Table12[PRODUCT_KEY]))</f>
        <v>29</v>
      </c>
      <c r="W2" s="4" cm="1">
        <f t="array" ref="W2">MAX(LEN(Table12[BH]))</f>
        <v>17</v>
      </c>
      <c r="X2" s="4" cm="1">
        <f t="array" ref="X2">MAX(LEN(Table12[DC]))</f>
        <v>5</v>
      </c>
      <c r="Y2" s="4" cm="1">
        <f t="array" ref="Y2">MAX(LEN(Table12[FCC]))</f>
        <v>5</v>
      </c>
      <c r="Z2" s="4" cm="1">
        <f t="array" ref="Z2">MAX(LEN(Table12[CASING]))</f>
        <v>4</v>
      </c>
      <c r="AA2" s="4" cm="1">
        <f t="array" ref="AA2">MAX(LEN(Table12[DISPLAY]))</f>
        <v>4</v>
      </c>
      <c r="AB2" s="4" cm="1">
        <f t="array" ref="AB2">MAX(LEN(Table12[PORT_DISPLAY]))</f>
        <v>11</v>
      </c>
      <c r="AC2" s="4" cm="1">
        <f t="array" ref="AC2">MAX(LEN(Table12[KEYBOARD]))</f>
        <v>4</v>
      </c>
      <c r="AD2" s="4" cm="1">
        <f t="array" ref="AD2">MAX(LEN(Table12[TOUCHPAD]))</f>
        <v>4</v>
      </c>
      <c r="AE2" s="4" cm="1">
        <f t="array" ref="AE2">MAX(LEN(Table12[PORT_USB]))</f>
        <v>13</v>
      </c>
      <c r="AF2" s="4" cm="1">
        <f t="array" ref="AF2">MAX(LEN(Table12[PORT_JECK]))</f>
        <v>4</v>
      </c>
      <c r="AG2" s="4" cm="1">
        <f t="array" ref="AG2">MAX(LEN(Table12[PORT_PSU]))</f>
        <v>4</v>
      </c>
      <c r="AH2" s="4" cm="1">
        <f t="array" ref="AH2">MAX(LEN(Table12[FAN]))</f>
        <v>4</v>
      </c>
      <c r="AI2" s="4" cm="1">
        <f t="array" ref="AI2">MAX(LEN(Table12[WEBCAM]))</f>
        <v>4</v>
      </c>
      <c r="AJ2" s="4" cm="1">
        <f t="array" ref="AJ2">MAX(LEN(Table12[MICROFON]))</f>
        <v>4</v>
      </c>
      <c r="AK2" s="4" cm="1">
        <f t="array" ref="AK2">MAX(LEN(Table12[SPEAKER]))</f>
        <v>4</v>
      </c>
      <c r="AL2" s="4" cm="1">
        <f t="array" ref="AL2">MAX(LEN(Table12[CONNECTION]))</f>
        <v>14</v>
      </c>
      <c r="AM2" s="4" cm="1">
        <f t="array" ref="AM2">MAX(LEN(Table12[CONDITIONS]))</f>
        <v>4</v>
      </c>
      <c r="AN2" s="4" cm="1">
        <f t="array" ref="AN2">MAX(LEN(Table12[SUB_CON]))</f>
        <v>7</v>
      </c>
      <c r="AO2" s="4" cm="1">
        <f t="array" ref="AO2">MAX(LEN(Table12[NOTE_CON]))</f>
        <v>41</v>
      </c>
      <c r="AP2" s="4" cm="1">
        <f t="array" ref="AP2">MAX(LEN(Table12[SOLUTION]))</f>
        <v>7</v>
      </c>
      <c r="AQ2" s="4" cm="1">
        <f t="array" ref="AQ2">MAX(LEN(Table12[NOTE_SOL]))</f>
        <v>60</v>
      </c>
      <c r="AR2" s="4" cm="1">
        <f t="array" ref="AR2">MAX(LEN(Table12[STATUS_FUNC]))</f>
        <v>3</v>
      </c>
      <c r="AS2" s="4" cm="1">
        <f t="array" ref="AS2">MAX(LEN(Table12[FUNCTIONS]))</f>
        <v>8</v>
      </c>
      <c r="AT2" s="4" cm="1">
        <f t="array" ref="AT2">MAX(LEN(Table12[NOTE_FUNC]))</f>
        <v>25</v>
      </c>
      <c r="AU2" s="4" cm="1">
        <f t="array" ref="AU2">MAX(LEN(Table12[HISTORY_PIC]))</f>
        <v>19</v>
      </c>
      <c r="AV2" s="4" cm="1">
        <f t="array" ref="AV2">MAX(LEN(Table12[LOCATION]))</f>
        <v>6</v>
      </c>
      <c r="AW2" s="4" cm="1">
        <f t="array" ref="AW2">MAX(LEN(Table12[NOTE_LOC]))</f>
        <v>18</v>
      </c>
      <c r="AX2" s="4"/>
      <c r="AY2" s="4" cm="1">
        <f t="array" ref="AY2">MAX(LEN(Table12[PIC_NIP]))</f>
        <v>6</v>
      </c>
      <c r="AZ2" s="4" cm="1">
        <f t="array" ref="AZ2">MAX(LEN(Table12[ID_MAINTENANCE]))</f>
        <v>11</v>
      </c>
    </row>
    <row r="3" spans="1:55" s="4" customFormat="1" ht="12.75" x14ac:dyDescent="0.25">
      <c r="K3" s="27" t="s">
        <v>507</v>
      </c>
      <c r="N3" s="27" t="s">
        <v>507</v>
      </c>
      <c r="O3" s="27" t="s">
        <v>642</v>
      </c>
      <c r="P3" s="27" t="s">
        <v>507</v>
      </c>
      <c r="Q3" s="27" t="s">
        <v>642</v>
      </c>
      <c r="X3" s="64" t="s">
        <v>516</v>
      </c>
      <c r="Y3" s="64"/>
    </row>
    <row r="4" spans="1:55" s="3" customFormat="1" x14ac:dyDescent="0.25">
      <c r="B4" s="19" t="s">
        <v>478</v>
      </c>
      <c r="C4" s="20" t="s">
        <v>479</v>
      </c>
      <c r="D4" s="20" t="s">
        <v>480</v>
      </c>
      <c r="E4" s="20" t="s">
        <v>481</v>
      </c>
      <c r="F4" s="43" t="s">
        <v>493</v>
      </c>
      <c r="G4" s="20" t="s">
        <v>482</v>
      </c>
      <c r="H4" s="20" t="s">
        <v>338</v>
      </c>
      <c r="I4" s="20" t="s">
        <v>483</v>
      </c>
      <c r="J4" s="20" t="s">
        <v>484</v>
      </c>
      <c r="K4" s="20" t="s">
        <v>492</v>
      </c>
      <c r="L4" s="20" t="s">
        <v>491</v>
      </c>
      <c r="M4" s="20" t="s">
        <v>490</v>
      </c>
      <c r="N4" s="20" t="s">
        <v>489</v>
      </c>
      <c r="O4" s="20" t="s">
        <v>488</v>
      </c>
      <c r="P4" s="20" t="s">
        <v>487</v>
      </c>
      <c r="Q4" s="20" t="s">
        <v>486</v>
      </c>
      <c r="R4" s="20" t="s">
        <v>506</v>
      </c>
      <c r="S4" s="20" t="s">
        <v>485</v>
      </c>
      <c r="T4" s="20" t="s">
        <v>512</v>
      </c>
      <c r="U4" s="20" t="s">
        <v>504</v>
      </c>
      <c r="V4" s="20" t="s">
        <v>505</v>
      </c>
      <c r="W4" s="43" t="s">
        <v>517</v>
      </c>
      <c r="X4" s="20" t="s">
        <v>514</v>
      </c>
      <c r="Y4" s="20" t="s">
        <v>515</v>
      </c>
      <c r="Z4" s="20" t="s">
        <v>518</v>
      </c>
      <c r="AA4" s="20" t="s">
        <v>519</v>
      </c>
      <c r="AB4" s="20" t="s">
        <v>532</v>
      </c>
      <c r="AC4" s="20" t="s">
        <v>520</v>
      </c>
      <c r="AD4" s="20" t="s">
        <v>521</v>
      </c>
      <c r="AE4" s="20" t="s">
        <v>522</v>
      </c>
      <c r="AF4" s="20" t="s">
        <v>523</v>
      </c>
      <c r="AG4" s="20" t="s">
        <v>524</v>
      </c>
      <c r="AH4" s="20" t="s">
        <v>525</v>
      </c>
      <c r="AI4" s="20" t="s">
        <v>526</v>
      </c>
      <c r="AJ4" s="20" t="s">
        <v>527</v>
      </c>
      <c r="AK4" s="20" t="s">
        <v>528</v>
      </c>
      <c r="AL4" s="20" t="s">
        <v>529</v>
      </c>
      <c r="AM4" s="43" t="s">
        <v>727</v>
      </c>
      <c r="AN4" s="20" t="s">
        <v>535</v>
      </c>
      <c r="AO4" s="20" t="s">
        <v>536</v>
      </c>
      <c r="AP4" s="43" t="s">
        <v>537</v>
      </c>
      <c r="AQ4" s="20" t="s">
        <v>538</v>
      </c>
      <c r="AR4" s="20" t="s">
        <v>543</v>
      </c>
      <c r="AS4" s="20" t="s">
        <v>726</v>
      </c>
      <c r="AT4" s="20" t="s">
        <v>539</v>
      </c>
      <c r="AU4" s="20" t="s">
        <v>540</v>
      </c>
      <c r="AV4" s="20" t="s">
        <v>541</v>
      </c>
      <c r="AW4" s="20" t="s">
        <v>542</v>
      </c>
      <c r="AX4" s="43" t="s">
        <v>288</v>
      </c>
      <c r="AY4" s="20" t="s">
        <v>333</v>
      </c>
      <c r="AZ4" s="21" t="s">
        <v>544</v>
      </c>
      <c r="BA4" s="43" t="s">
        <v>637</v>
      </c>
      <c r="BB4" s="20" t="s">
        <v>302</v>
      </c>
      <c r="BC4" s="20" t="s">
        <v>290</v>
      </c>
    </row>
    <row r="5" spans="1:55" ht="16.5" x14ac:dyDescent="0.25">
      <c r="A5" s="3" t="str">
        <f>IF(Table12[[#This Row],[VAL-1]]="VALIDATE [DONE]","✓","✗")</f>
        <v>✗</v>
      </c>
      <c r="B5" s="28" t="s">
        <v>589</v>
      </c>
      <c r="C5" s="13" t="s">
        <v>600</v>
      </c>
      <c r="D5" s="13" t="s">
        <v>565</v>
      </c>
      <c r="E5" s="44" t="s">
        <v>750</v>
      </c>
      <c r="F5" s="13" t="str">
        <f>_xlfn.IFS(LEFT(Table12[[#This Row],[ID_ASSET]],2)="DT","PC DESKTOP",LEFT(Table12[[#This Row],[ID_ASSET]],2)="NB","LAPTOP")</f>
        <v>LAPTOP</v>
      </c>
      <c r="G5" s="13" t="s">
        <v>499</v>
      </c>
      <c r="H5" s="13" t="s">
        <v>610</v>
      </c>
      <c r="I5" s="13" t="s">
        <v>615</v>
      </c>
      <c r="J5" s="50">
        <v>8</v>
      </c>
      <c r="K5" s="50">
        <v>16</v>
      </c>
      <c r="L5" s="50" t="s">
        <v>639</v>
      </c>
      <c r="M5" s="54" t="s">
        <v>730</v>
      </c>
      <c r="N5" s="50">
        <v>256</v>
      </c>
      <c r="O5" s="52" t="s">
        <v>731</v>
      </c>
      <c r="P5" s="50">
        <v>1000</v>
      </c>
      <c r="Q5" s="52" t="s">
        <v>732</v>
      </c>
      <c r="R5" s="13" t="s">
        <v>509</v>
      </c>
      <c r="S5" s="13" t="s">
        <v>510</v>
      </c>
      <c r="T5" s="13" t="s">
        <v>513</v>
      </c>
      <c r="U5" s="55" t="s">
        <v>733</v>
      </c>
      <c r="V5" s="55" t="s">
        <v>644</v>
      </c>
      <c r="W5" s="57" t="str">
        <f>IFERROR(IF(Table12[[#This Row],[CATEGORY]]="PC DESKTOP","NA",(Table12[[#This Row],[FCC]]/Table12[[#This Row],[DC]])),"")</f>
        <v/>
      </c>
      <c r="X5" s="58"/>
      <c r="Y5" s="58"/>
      <c r="Z5" s="14" t="s">
        <v>531</v>
      </c>
      <c r="AA5" s="14" t="s">
        <v>531</v>
      </c>
      <c r="AB5" s="13" t="s">
        <v>533</v>
      </c>
      <c r="AC5" s="14" t="s">
        <v>531</v>
      </c>
      <c r="AD5" s="14" t="s">
        <v>531</v>
      </c>
      <c r="AE5" s="50"/>
      <c r="AF5" s="14" t="s">
        <v>531</v>
      </c>
      <c r="AG5" s="14" t="s">
        <v>531</v>
      </c>
      <c r="AH5" s="14" t="s">
        <v>531</v>
      </c>
      <c r="AI5" s="14" t="s">
        <v>531</v>
      </c>
      <c r="AJ5" s="14" t="s">
        <v>531</v>
      </c>
      <c r="AK5" s="14" t="s">
        <v>531</v>
      </c>
      <c r="AL5" s="13" t="s">
        <v>530</v>
      </c>
      <c r="AM5" s="13" t="str">
        <f>IF(OR(Table12[[#This Row],[SUB_CON]]="CAUTION",Table12[[#This Row],[SUB_CON]]="POOR"),"BAD","GOOD")</f>
        <v>GOOD</v>
      </c>
      <c r="AN5" s="13" t="s">
        <v>620</v>
      </c>
      <c r="AO5" s="13" t="s">
        <v>623</v>
      </c>
      <c r="AP5" s="13" t="str" cm="1">
        <f t="array" ref="AP5">_xlfn.IFS(
Table12[[#This Row],[SUB_CON]]="GREAT","KEEP",
Table12[[#This Row],[SUB_CON]]="NORMAL","UPGRADE",
Table12[[#This Row],[SUB_CON]]="CAUTION","SERVICE",
Table12[[#This Row],[SUB_CON]]="POOR","DISPOSE")</f>
        <v>UPGRADE</v>
      </c>
      <c r="AQ5" s="41" t="s">
        <v>626</v>
      </c>
      <c r="AR5" s="13" t="s">
        <v>332</v>
      </c>
      <c r="AS5" s="13" t="s">
        <v>645</v>
      </c>
      <c r="AT5" s="13" t="s">
        <v>334</v>
      </c>
      <c r="AU5" s="13" t="s">
        <v>334</v>
      </c>
      <c r="AV5" s="13" t="s">
        <v>646</v>
      </c>
      <c r="AW5" s="13" t="s">
        <v>647</v>
      </c>
      <c r="AX5" s="14" t="str">
        <f>IF(Table12[[#This Row],[PIC_NIP]]&lt;&gt;999999,"IN USE",IF(AND(Table12[[#This Row],[NOTE_LOC]]="WAREHOUSE",Table12[[#This Row],[PIC_NIP]]=999999),"IN STORE","IN-ACTIVE"))</f>
        <v>IN USE</v>
      </c>
      <c r="AY5" s="50">
        <v>221284</v>
      </c>
      <c r="AZ5" s="23" t="s">
        <v>715</v>
      </c>
      <c r="BA5" s="32" t="str">
        <f>IF(COUNTBLANK(Table12[[#This Row],[ID_ASSET]:[ID_MAINTENANCE]])&gt;0,"VALIDATE [IN PROGRESS]","VALIDATE [DONE]")</f>
        <v>VALIDATE [IN PROGRESS]</v>
      </c>
      <c r="BB5" s="32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NB.0326O99-ITD-NB012JSBKWS2MASHQEQP2000002LAPTOPDELLLatitude 3490i5-8250U8162 of 2DDR4, SO-DIMM, 2400 / 2667 Mhz256SSD M.2/KYO Kaizen1000HDD SATA 2.5"/Toshiba MQ01ABD100WindowsWindows 11 Pro24H200330-71290-00002-AAOEMTBDGoodGoodHDMI [Good]GoodGoodGoodGoodGoodGoodGoodGoodWiFI, EthernetGOODNORMALHardware : Need to be Upgrade PerformanceUPGRADEUpgrade RAMPICPERSONAL--MOBILEUSER MOBILE221284ME01-251012'),</v>
      </c>
      <c r="BC5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('NB.0326','O99-ITD-NB012','JSBKWS2','MASHQEQP2000002','LAPTOP','DELL','Latitude 3490','i5-8250U','8','16','2 of 2','DDR4, SO-DIMM, 2400 / 2667 Mhz','256','SSD M.2/KYO Kaizen','1000','HDD SATA 2.5"/Toshiba MQ01ABD100','Windows','Windows 11 Pro','24H2','00330-71290-00002-AAOEM','TBD','','','','Good','Good','HDMI [Good]','Good','Good','','Good','Good','Good','Good','Good','Good','WiFI, Ethernet','GOOD','NORMAL','Hardware : Need to be Upgrade Performance','UPGRADE','Upgrade RAM','PIC','PERSONAL','-','-','MOBILE','USER MOBILE','221284','ME01-251012'),</v>
      </c>
    </row>
    <row r="6" spans="1:55" ht="16.5" x14ac:dyDescent="0.25">
      <c r="A6" s="3" t="str">
        <f>IF(Table12[[#This Row],[VAL-1]]="VALIDATE [DONE]","✓","✗")</f>
        <v>✗</v>
      </c>
      <c r="B6" s="28" t="s">
        <v>590</v>
      </c>
      <c r="C6" s="13" t="s">
        <v>601</v>
      </c>
      <c r="D6" s="13" t="s">
        <v>566</v>
      </c>
      <c r="E6" s="13" t="s">
        <v>654</v>
      </c>
      <c r="F6" s="13" t="str">
        <f>_xlfn.IFS(LEFT(Table12[[#This Row],[ID_ASSET]],2)="DT","PC DESKTOP",LEFT(Table12[[#This Row],[ID_ASSET]],2)="NB","LAPTOP")</f>
        <v>LAPTOP</v>
      </c>
      <c r="G6" s="13" t="s">
        <v>499</v>
      </c>
      <c r="H6" s="13" t="s">
        <v>611</v>
      </c>
      <c r="I6" s="13" t="s">
        <v>616</v>
      </c>
      <c r="J6" s="50">
        <v>12</v>
      </c>
      <c r="K6" s="50">
        <v>8</v>
      </c>
      <c r="L6" s="50"/>
      <c r="M6" s="54"/>
      <c r="N6" s="50">
        <v>512</v>
      </c>
      <c r="O6" s="52"/>
      <c r="P6" s="50">
        <v>0</v>
      </c>
      <c r="Q6" s="52" t="s">
        <v>508</v>
      </c>
      <c r="R6" s="13" t="s">
        <v>509</v>
      </c>
      <c r="S6" s="13"/>
      <c r="T6" s="13"/>
      <c r="U6" s="55"/>
      <c r="V6" s="55" t="s">
        <v>644</v>
      </c>
      <c r="W6" s="57" t="str">
        <f>IFERROR(IF(Table12[[#This Row],[CATEGORY]]="PC DESKTOP","NA",(Table12[[#This Row],[FCC]]/Table12[[#This Row],[DC]])),"")</f>
        <v/>
      </c>
      <c r="X6" s="58"/>
      <c r="Y6" s="58"/>
      <c r="Z6" s="14" t="s">
        <v>531</v>
      </c>
      <c r="AA6" s="14" t="s">
        <v>531</v>
      </c>
      <c r="AB6" s="13" t="s">
        <v>533</v>
      </c>
      <c r="AC6" s="14" t="s">
        <v>531</v>
      </c>
      <c r="AD6" s="14" t="s">
        <v>531</v>
      </c>
      <c r="AE6" s="50"/>
      <c r="AF6" s="14" t="s">
        <v>531</v>
      </c>
      <c r="AG6" s="14" t="s">
        <v>531</v>
      </c>
      <c r="AH6" s="14" t="s">
        <v>531</v>
      </c>
      <c r="AI6" s="14" t="s">
        <v>531</v>
      </c>
      <c r="AJ6" s="14" t="s">
        <v>531</v>
      </c>
      <c r="AK6" s="14" t="s">
        <v>531</v>
      </c>
      <c r="AL6" s="13" t="s">
        <v>530</v>
      </c>
      <c r="AM6" s="13" t="str">
        <f>IF(OR(Table12[[#This Row],[SUB_CON]]="CAUTION",Table12[[#This Row],[SUB_CON]]="POOR"),"BAD","GOOD")</f>
        <v>GOOD</v>
      </c>
      <c r="AN6" s="13" t="s">
        <v>621</v>
      </c>
      <c r="AO6" s="13" t="s">
        <v>625</v>
      </c>
      <c r="AP6" s="13" t="str" cm="1">
        <f t="array" ref="AP6">_xlfn.IFS(
Table12[[#This Row],[SUB_CON]]="GREAT","KEEP",
Table12[[#This Row],[SUB_CON]]="NORMAL","UPGRADE",
Table12[[#This Row],[SUB_CON]]="CAUTION","SERVICE",
Table12[[#This Row],[SUB_CON]]="POOR","DISPOSE")</f>
        <v>KEEP</v>
      </c>
      <c r="AQ6" s="41" t="s">
        <v>627</v>
      </c>
      <c r="AR6" s="13" t="s">
        <v>332</v>
      </c>
      <c r="AS6" s="13" t="s">
        <v>645</v>
      </c>
      <c r="AT6" s="13" t="s">
        <v>334</v>
      </c>
      <c r="AU6" s="13" t="s">
        <v>628</v>
      </c>
      <c r="AV6" s="13" t="s">
        <v>646</v>
      </c>
      <c r="AW6" s="13" t="s">
        <v>647</v>
      </c>
      <c r="AX6" s="14" t="str">
        <f>IF(Table12[[#This Row],[PIC_NIP]]&lt;&gt;999999,"IN USE",IF(AND(Table12[[#This Row],[NOTE_LOC]]="WAREHOUSE",Table12[[#This Row],[PIC_NIP]]=999999),"IN STORE","IN-ACTIVE"))</f>
        <v>IN USE</v>
      </c>
      <c r="AY6" s="50">
        <v>250501</v>
      </c>
      <c r="AZ6" s="23" t="s">
        <v>715</v>
      </c>
      <c r="BA6" s="13" t="str">
        <f>IF(COUNTBLANK(Table12[[#This Row],[ID_ASSET]:[ID_MAINTENANCE]])&gt;0,"VALIDATE [IN PROGRESS]","VALIDATE [DONE]")</f>
        <v>VALIDATE [IN PROGRESS]</v>
      </c>
      <c r="BB6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NB.0384O99-ITD-NB015J8Q5HX3MASHQEQP2300012LAPTOPDELLLatitude 3430i3-1215U1285120NAWindowsTBDGoodGoodHDMI [Good]GoodGoodGoodGoodGoodGoodGoodGoodWiFI, EthernetGOODGREATGOOD PERFORMANCEKEEPTidak adaPICPERSONAL-Ex Degia ParlopaMOBILEUSER MOBILE250501ME01-251012'),</v>
      </c>
      <c r="BC6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('NB.0384','O99-ITD-NB015','J8Q5HX3','MASHQEQP2300012','LAPTOP','DELL','Latitude 3430','i3-1215U','12','8','','','512','','0','NA','Windows','','','','TBD','','','','Good','Good','HDMI [Good]','Good','Good','','Good','Good','Good','Good','Good','Good','WiFI, Ethernet','GOOD','GREAT','GOOD PERFORMANCE','KEEP','Tidak ada','PIC','PERSONAL','-','Ex Degia Parlopa','MOBILE','USER MOBILE','250501','ME01-251012'),</v>
      </c>
    </row>
    <row r="7" spans="1:55" ht="16.5" x14ac:dyDescent="0.25">
      <c r="A7" s="3" t="str">
        <f>IF(Table12[[#This Row],[VAL-1]]="VALIDATE [DONE]","✓","✗")</f>
        <v>✗</v>
      </c>
      <c r="B7" s="28" t="s">
        <v>591</v>
      </c>
      <c r="C7" s="13" t="s">
        <v>602</v>
      </c>
      <c r="D7" s="13" t="s">
        <v>567</v>
      </c>
      <c r="E7" s="13" t="s">
        <v>554</v>
      </c>
      <c r="F7" s="13" t="str">
        <f>_xlfn.IFS(LEFT(Table12[[#This Row],[ID_ASSET]],2)="DT","PC DESKTOP",LEFT(Table12[[#This Row],[ID_ASSET]],2)="NB","LAPTOP")</f>
        <v>LAPTOP</v>
      </c>
      <c r="G7" s="13" t="s">
        <v>499</v>
      </c>
      <c r="H7" s="13" t="s">
        <v>612</v>
      </c>
      <c r="I7" s="13" t="s">
        <v>617</v>
      </c>
      <c r="J7" s="50">
        <v>13</v>
      </c>
      <c r="K7" s="50">
        <v>32</v>
      </c>
      <c r="L7" s="50" t="s">
        <v>639</v>
      </c>
      <c r="M7" s="54" t="s">
        <v>640</v>
      </c>
      <c r="N7" s="50">
        <v>512</v>
      </c>
      <c r="O7" s="52" t="s">
        <v>641</v>
      </c>
      <c r="P7" s="50">
        <v>0</v>
      </c>
      <c r="Q7" s="52" t="s">
        <v>508</v>
      </c>
      <c r="R7" s="13" t="s">
        <v>509</v>
      </c>
      <c r="S7" s="13" t="s">
        <v>510</v>
      </c>
      <c r="T7" s="13" t="s">
        <v>513</v>
      </c>
      <c r="U7" s="55" t="s">
        <v>638</v>
      </c>
      <c r="V7" s="55" t="s">
        <v>644</v>
      </c>
      <c r="W7" s="57" t="str">
        <f>IFERROR(IF(Table12[[#This Row],[CATEGORY]]="PC DESKTOP","NA",(Table12[[#This Row],[FCC]]/Table12[[#This Row],[DC]])),"")</f>
        <v/>
      </c>
      <c r="X7" s="58"/>
      <c r="Y7" s="58"/>
      <c r="Z7" s="14" t="s">
        <v>531</v>
      </c>
      <c r="AA7" s="14" t="s">
        <v>531</v>
      </c>
      <c r="AB7" s="13" t="s">
        <v>533</v>
      </c>
      <c r="AC7" s="14" t="s">
        <v>531</v>
      </c>
      <c r="AD7" s="14" t="s">
        <v>531</v>
      </c>
      <c r="AE7" s="50"/>
      <c r="AF7" s="14" t="s">
        <v>531</v>
      </c>
      <c r="AG7" s="14" t="s">
        <v>531</v>
      </c>
      <c r="AH7" s="14" t="s">
        <v>531</v>
      </c>
      <c r="AI7" s="14" t="s">
        <v>531</v>
      </c>
      <c r="AJ7" s="14" t="s">
        <v>531</v>
      </c>
      <c r="AK7" s="14" t="s">
        <v>531</v>
      </c>
      <c r="AL7" s="13" t="s">
        <v>530</v>
      </c>
      <c r="AM7" s="13" t="str">
        <f>IF(OR(Table12[[#This Row],[SUB_CON]]="CAUTION",Table12[[#This Row],[SUB_CON]]="POOR"),"BAD","GOOD")</f>
        <v>GOOD</v>
      </c>
      <c r="AN7" s="13" t="s">
        <v>621</v>
      </c>
      <c r="AO7" s="13" t="s">
        <v>625</v>
      </c>
      <c r="AP7" s="13" t="str" cm="1">
        <f t="array" ref="AP7">_xlfn.IFS(
Table12[[#This Row],[SUB_CON]]="GREAT","KEEP",
Table12[[#This Row],[SUB_CON]]="NORMAL","UPGRADE",
Table12[[#This Row],[SUB_CON]]="CAUTION","SERVICE",
Table12[[#This Row],[SUB_CON]]="POOR","DISPOSE")</f>
        <v>KEEP</v>
      </c>
      <c r="AQ7" s="41" t="s">
        <v>627</v>
      </c>
      <c r="AR7" s="13" t="s">
        <v>332</v>
      </c>
      <c r="AS7" s="13" t="s">
        <v>645</v>
      </c>
      <c r="AT7" s="13" t="s">
        <v>334</v>
      </c>
      <c r="AU7" s="13" t="s">
        <v>334</v>
      </c>
      <c r="AV7" s="13" t="s">
        <v>646</v>
      </c>
      <c r="AW7" s="13" t="s">
        <v>647</v>
      </c>
      <c r="AX7" s="14" t="str">
        <f>IF(Table12[[#This Row],[PIC_NIP]]&lt;&gt;999999,"IN USE",IF(AND(Table12[[#This Row],[NOTE_LOC]]="WAREHOUSE",Table12[[#This Row],[PIC_NIP]]=999999),"IN STORE","IN-ACTIVE"))</f>
        <v>IN USE</v>
      </c>
      <c r="AY7" s="50">
        <v>240287</v>
      </c>
      <c r="AZ7" s="23" t="s">
        <v>715</v>
      </c>
      <c r="BA7" s="13" t="str">
        <f>IF(COUNTBLANK(Table12[[#This Row],[ID_ASSET]:[ID_MAINTENANCE]])&gt;0,"VALIDATE [IN PROGRESS]","VALIDATE [DONE]")</f>
        <v>VALIDATE [IN PROGRESS]</v>
      </c>
      <c r="BB7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NB.0399O99-ITD-NB0162CQ7FX3MASHQEQP2400003LAPTOPDELLLatitude 5540i7-1370P13322 of 2DDR5, SO-DIMM, 4800 / 5600 Mhz512SSD M.2 Nvme/SK Hynix BC9010NAWindowsWindows 11 Pro24H200355-60997-88773-AAOEMTBDGoodGoodHDMI [Good]GoodGoodGoodGoodGoodGoodGoodGoodWiFI, EthernetGOODGREATGOOD PERFORMANCEKEEPTidak adaPICPERSONAL--MOBILEUSER MOBILE240287ME01-251012'),</v>
      </c>
      <c r="BC7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('NB.0399','O99-ITD-NB016','2CQ7FX3','MASHQEQP2400003','LAPTOP','DELL','Latitude 5540','i7-1370P','13','32','2 of 2','DDR5, SO-DIMM, 4800 / 5600 Mhz','512','SSD M.2 Nvme/SK Hynix BC901','0','NA','Windows','Windows 11 Pro','24H2','00355-60997-88773-AAOEM','TBD','','','','Good','Good','HDMI [Good]','Good','Good','','Good','Good','Good','Good','Good','Good','WiFI, Ethernet','GOOD','GREAT','GOOD PERFORMANCE','KEEP','Tidak ada','PIC','PERSONAL','-','-','MOBILE','USER MOBILE','240287','ME01-251012'),</v>
      </c>
    </row>
    <row r="8" spans="1:55" ht="16.5" x14ac:dyDescent="0.25">
      <c r="A8" s="3" t="str">
        <f>IF(Table12[[#This Row],[VAL-1]]="VALIDATE [DONE]","✓","✗")</f>
        <v>✗</v>
      </c>
      <c r="B8" s="28" t="s">
        <v>494</v>
      </c>
      <c r="C8" s="13" t="s">
        <v>495</v>
      </c>
      <c r="D8" s="13" t="s">
        <v>496</v>
      </c>
      <c r="E8" s="13" t="s">
        <v>497</v>
      </c>
      <c r="F8" s="13" t="str">
        <f>_xlfn.IFS(LEFT(Table12[[#This Row],[ID_ASSET]],2)="DT","PC DESKTOP",LEFT(Table12[[#This Row],[ID_ASSET]],2)="NB","LAPTOP")</f>
        <v>LAPTOP</v>
      </c>
      <c r="G8" s="13" t="s">
        <v>499</v>
      </c>
      <c r="H8" s="13" t="s">
        <v>500</v>
      </c>
      <c r="I8" s="13" t="s">
        <v>501</v>
      </c>
      <c r="J8" s="50">
        <v>13</v>
      </c>
      <c r="K8" s="50">
        <v>16</v>
      </c>
      <c r="L8" s="50" t="s">
        <v>502</v>
      </c>
      <c r="M8" s="54" t="s">
        <v>503</v>
      </c>
      <c r="N8" s="50">
        <v>512</v>
      </c>
      <c r="O8" s="52" t="s">
        <v>643</v>
      </c>
      <c r="P8" s="50">
        <v>0</v>
      </c>
      <c r="Q8" s="52" t="s">
        <v>508</v>
      </c>
      <c r="R8" s="13" t="s">
        <v>509</v>
      </c>
      <c r="S8" s="13" t="s">
        <v>510</v>
      </c>
      <c r="T8" s="13" t="s">
        <v>513</v>
      </c>
      <c r="U8" s="55" t="s">
        <v>511</v>
      </c>
      <c r="V8" s="55" t="s">
        <v>644</v>
      </c>
      <c r="W8" s="57" t="str">
        <f>IFERROR(IF(Table12[[#This Row],[CATEGORY]]="PC DESKTOP","NA",(Table12[[#This Row],[FCC]]/Table12[[#This Row],[DC]])),"")</f>
        <v/>
      </c>
      <c r="X8" s="58"/>
      <c r="Y8" s="58"/>
      <c r="Z8" s="14" t="s">
        <v>531</v>
      </c>
      <c r="AA8" s="14" t="s">
        <v>531</v>
      </c>
      <c r="AB8" s="13" t="s">
        <v>533</v>
      </c>
      <c r="AC8" s="14" t="s">
        <v>531</v>
      </c>
      <c r="AD8" s="14" t="s">
        <v>531</v>
      </c>
      <c r="AE8" s="50"/>
      <c r="AF8" s="14" t="s">
        <v>531</v>
      </c>
      <c r="AG8" s="14" t="s">
        <v>531</v>
      </c>
      <c r="AH8" s="14" t="s">
        <v>531</v>
      </c>
      <c r="AI8" s="14" t="s">
        <v>531</v>
      </c>
      <c r="AJ8" s="14" t="s">
        <v>531</v>
      </c>
      <c r="AK8" s="14" t="s">
        <v>531</v>
      </c>
      <c r="AL8" s="13" t="s">
        <v>530</v>
      </c>
      <c r="AM8" s="13" t="str">
        <f>IF(OR(Table12[[#This Row],[SUB_CON]]="CAUTION",Table12[[#This Row],[SUB_CON]]="POOR"),"BAD","GOOD")</f>
        <v>GOOD</v>
      </c>
      <c r="AN8" s="13" t="s">
        <v>621</v>
      </c>
      <c r="AO8" s="13" t="s">
        <v>625</v>
      </c>
      <c r="AP8" s="13" t="str" cm="1">
        <f t="array" ref="AP8">_xlfn.IFS(
Table12[[#This Row],[SUB_CON]]="GREAT","KEEP",
Table12[[#This Row],[SUB_CON]]="NORMAL","UPGRADE",
Table12[[#This Row],[SUB_CON]]="CAUTION","SERVICE",
Table12[[#This Row],[SUB_CON]]="POOR","DISPOSE")</f>
        <v>KEEP</v>
      </c>
      <c r="AQ8" s="41" t="s">
        <v>627</v>
      </c>
      <c r="AR8" s="13" t="s">
        <v>332</v>
      </c>
      <c r="AS8" s="13" t="s">
        <v>645</v>
      </c>
      <c r="AT8" s="13" t="s">
        <v>334</v>
      </c>
      <c r="AU8" s="13" t="s">
        <v>334</v>
      </c>
      <c r="AV8" s="13" t="s">
        <v>646</v>
      </c>
      <c r="AW8" s="13" t="s">
        <v>647</v>
      </c>
      <c r="AX8" s="14" t="str">
        <f>IF(Table12[[#This Row],[PIC_NIP]]&lt;&gt;999999,"IN USE",IF(AND(Table12[[#This Row],[NOTE_LOC]]="WAREHOUSE",Table12[[#This Row],[PIC_NIP]]=999999),"IN STORE","IN-ACTIVE"))</f>
        <v>IN USE</v>
      </c>
      <c r="AY8" s="50">
        <v>240763</v>
      </c>
      <c r="AZ8" s="23" t="s">
        <v>715</v>
      </c>
      <c r="BA8" s="13" t="str">
        <f>IF(COUNTBLANK(Table12[[#This Row],[ID_ASSET]:[ID_MAINTENANCE]])&gt;0,"VALIDATE [IN PROGRESS]","VALIDATE [DONE]")</f>
        <v>VALIDATE [IN PROGRESS]</v>
      </c>
      <c r="BB8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NB.0412O99-ITD-NB017GC8JX14MASHQEQP2400014LAPTOPDELLLatitude 5440i7-1365U13161 of 2DDR4, SO-DIMM, 3200Mhz512SSD M.2 Nvme/WD PC SN7400NAWindowsWindows 11 Pro24H200356-24531-33852-AAOEMTBDGoodGoodHDMI [Good]GoodGoodGoodGoodGoodGoodGoodGoodWiFI, EthernetGOODGREATGOOD PERFORMANCEKEEPTidak adaPICPERSONAL--MOBILEUSER MOBILE240763ME01-251012'),</v>
      </c>
      <c r="BC8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('NB.0412','O99-ITD-NB017','GC8JX14','MASHQEQP2400014','LAPTOP','DELL','Latitude 5440','i7-1365U','13','16','1 of 2','DDR4, SO-DIMM, 3200Mhz','512','SSD M.2 Nvme/WD PC SN740','0','NA','Windows','Windows 11 Pro','24H2','00356-24531-33852-AAOEM','TBD','','','','Good','Good','HDMI [Good]','Good','Good','','Good','Good','Good','Good','Good','Good','WiFI, Ethernet','GOOD','GREAT','GOOD PERFORMANCE','KEEP','Tidak ada','PIC','PERSONAL','-','-','MOBILE','USER MOBILE','240763','ME01-251012'),</v>
      </c>
    </row>
    <row r="9" spans="1:55" ht="16.5" x14ac:dyDescent="0.25">
      <c r="A9" s="3" t="str">
        <f>IF(Table12[[#This Row],[VAL-1]]="VALIDATE [DONE]","✓","✗")</f>
        <v>✗</v>
      </c>
      <c r="B9" s="28" t="s">
        <v>592</v>
      </c>
      <c r="C9" s="13" t="s">
        <v>603</v>
      </c>
      <c r="D9" s="13" t="s">
        <v>568</v>
      </c>
      <c r="E9" s="13" t="s">
        <v>559</v>
      </c>
      <c r="F9" s="13" t="str">
        <f>_xlfn.IFS(LEFT(Table12[[#This Row],[ID_ASSET]],2)="DT","PC DESKTOP",LEFT(Table12[[#This Row],[ID_ASSET]],2)="NB","LAPTOP")</f>
        <v>LAPTOP</v>
      </c>
      <c r="G9" s="13" t="s">
        <v>499</v>
      </c>
      <c r="H9" s="13" t="s">
        <v>613</v>
      </c>
      <c r="I9" s="13" t="s">
        <v>618</v>
      </c>
      <c r="J9" s="50">
        <v>13</v>
      </c>
      <c r="K9" s="50">
        <v>16</v>
      </c>
      <c r="L9" s="50"/>
      <c r="M9" s="54"/>
      <c r="N9" s="50">
        <v>512</v>
      </c>
      <c r="O9" s="52"/>
      <c r="P9" s="50">
        <v>0</v>
      </c>
      <c r="Q9" s="52" t="s">
        <v>508</v>
      </c>
      <c r="R9" s="13" t="s">
        <v>509</v>
      </c>
      <c r="S9" s="13"/>
      <c r="T9" s="13"/>
      <c r="U9" s="55"/>
      <c r="V9" s="55" t="s">
        <v>644</v>
      </c>
      <c r="W9" s="57" t="str">
        <f>IFERROR(IF(Table12[[#This Row],[CATEGORY]]="PC DESKTOP","NA",(Table12[[#This Row],[FCC]]/Table12[[#This Row],[DC]])),"")</f>
        <v/>
      </c>
      <c r="X9" s="58"/>
      <c r="Y9" s="58"/>
      <c r="Z9" s="14" t="s">
        <v>531</v>
      </c>
      <c r="AA9" s="14" t="s">
        <v>531</v>
      </c>
      <c r="AB9" s="13" t="s">
        <v>533</v>
      </c>
      <c r="AC9" s="14" t="s">
        <v>531</v>
      </c>
      <c r="AD9" s="14" t="s">
        <v>531</v>
      </c>
      <c r="AE9" s="50"/>
      <c r="AF9" s="14" t="s">
        <v>531</v>
      </c>
      <c r="AG9" s="14" t="s">
        <v>531</v>
      </c>
      <c r="AH9" s="14" t="s">
        <v>531</v>
      </c>
      <c r="AI9" s="14" t="s">
        <v>531</v>
      </c>
      <c r="AJ9" s="14" t="s">
        <v>531</v>
      </c>
      <c r="AK9" s="14" t="s">
        <v>531</v>
      </c>
      <c r="AL9" s="13" t="s">
        <v>530</v>
      </c>
      <c r="AM9" s="13" t="str">
        <f>IF(OR(Table12[[#This Row],[SUB_CON]]="CAUTION",Table12[[#This Row],[SUB_CON]]="POOR"),"BAD","GOOD")</f>
        <v>GOOD</v>
      </c>
      <c r="AN9" s="13" t="s">
        <v>621</v>
      </c>
      <c r="AO9" s="13" t="s">
        <v>625</v>
      </c>
      <c r="AP9" s="13" t="str" cm="1">
        <f t="array" ref="AP9">_xlfn.IFS(
Table12[[#This Row],[SUB_CON]]="GREAT","KEEP",
Table12[[#This Row],[SUB_CON]]="NORMAL","UPGRADE",
Table12[[#This Row],[SUB_CON]]="CAUTION","SERVICE",
Table12[[#This Row],[SUB_CON]]="POOR","DISPOSE")</f>
        <v>KEEP</v>
      </c>
      <c r="AQ9" s="41" t="s">
        <v>627</v>
      </c>
      <c r="AR9" s="13" t="s">
        <v>332</v>
      </c>
      <c r="AS9" s="13" t="s">
        <v>645</v>
      </c>
      <c r="AT9" s="13" t="s">
        <v>334</v>
      </c>
      <c r="AU9" s="13" t="s">
        <v>629</v>
      </c>
      <c r="AV9" s="13" t="s">
        <v>646</v>
      </c>
      <c r="AW9" s="13" t="s">
        <v>647</v>
      </c>
      <c r="AX9" s="14" t="str">
        <f>IF(Table12[[#This Row],[PIC_NIP]]&lt;&gt;999999,"IN USE",IF(AND(Table12[[#This Row],[NOTE_LOC]]="WAREHOUSE",Table12[[#This Row],[PIC_NIP]]=999999),"IN STORE","IN-ACTIVE"))</f>
        <v>IN USE</v>
      </c>
      <c r="AY9" s="50">
        <v>150821</v>
      </c>
      <c r="AZ9" s="23" t="s">
        <v>715</v>
      </c>
      <c r="BA9" s="13" t="str">
        <f>IF(COUNTBLANK(Table12[[#This Row],[ID_ASSET]:[ID_MAINTENANCE]])&gt;0,"VALIDATE [IN PROGRESS]","VALIDATE [DONE]")</f>
        <v>VALIDATE [IN PROGRESS]</v>
      </c>
      <c r="BB9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NB.0447O99-ITD-NB01894BJM44MASHQEQP2400037LAPTOPDELLLatitude 3450i5-1345U13165120NAWindowsTBDGoodGoodHDMI [Good]GoodGoodGoodGoodGoodGoodGoodGoodWiFI, EthernetGOODGREATGOOD PERFORMANCEKEEPTidak adaPICPERSONAL-Ex Aditya GustiyanaMOBILEUSER MOBILE150821ME01-251012'),</v>
      </c>
      <c r="BC9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('NB.0447','O99-ITD-NB018','94BJM44','MASHQEQP2400037','LAPTOP','DELL','Latitude 3450','i5-1345U','13','16','','','512','','0','NA','Windows','','','','TBD','','','','Good','Good','HDMI [Good]','Good','Good','','Good','Good','Good','Good','Good','Good','WiFI, Ethernet','GOOD','GREAT','GOOD PERFORMANCE','KEEP','Tidak ada','PIC','PERSONAL','-','Ex Aditya Gustiyana','MOBILE','USER MOBILE','150821','ME01-251012'),</v>
      </c>
    </row>
    <row r="10" spans="1:55" ht="16.5" x14ac:dyDescent="0.25">
      <c r="A10" s="3" t="str">
        <f>IF(Table12[[#This Row],[VAL-1]]="VALIDATE [DONE]","✓","✗")</f>
        <v>✗</v>
      </c>
      <c r="B10" s="28" t="s">
        <v>593</v>
      </c>
      <c r="C10" s="13" t="s">
        <v>604</v>
      </c>
      <c r="D10" s="13" t="s">
        <v>569</v>
      </c>
      <c r="E10" s="13" t="s">
        <v>560</v>
      </c>
      <c r="F10" s="13" t="str">
        <f>_xlfn.IFS(LEFT(Table12[[#This Row],[ID_ASSET]],2)="DT","PC DESKTOP",LEFT(Table12[[#This Row],[ID_ASSET]],2)="NB","LAPTOP")</f>
        <v>LAPTOP</v>
      </c>
      <c r="G10" s="13" t="s">
        <v>499</v>
      </c>
      <c r="H10" s="13" t="s">
        <v>613</v>
      </c>
      <c r="I10" s="13" t="s">
        <v>618</v>
      </c>
      <c r="J10" s="50">
        <v>13</v>
      </c>
      <c r="K10" s="50">
        <v>16</v>
      </c>
      <c r="L10" s="50"/>
      <c r="M10" s="54"/>
      <c r="N10" s="50">
        <v>512</v>
      </c>
      <c r="O10" s="52"/>
      <c r="P10" s="50">
        <v>0</v>
      </c>
      <c r="Q10" s="52" t="s">
        <v>508</v>
      </c>
      <c r="R10" s="13" t="s">
        <v>509</v>
      </c>
      <c r="S10" s="13"/>
      <c r="T10" s="13"/>
      <c r="U10" s="55"/>
      <c r="V10" s="55" t="s">
        <v>644</v>
      </c>
      <c r="W10" s="57" t="str">
        <f>IFERROR(IF(Table12[[#This Row],[CATEGORY]]="PC DESKTOP","NA",(Table12[[#This Row],[FCC]]/Table12[[#This Row],[DC]])),"")</f>
        <v/>
      </c>
      <c r="X10" s="58"/>
      <c r="Y10" s="58"/>
      <c r="Z10" s="14" t="s">
        <v>531</v>
      </c>
      <c r="AA10" s="14" t="s">
        <v>531</v>
      </c>
      <c r="AB10" s="13" t="s">
        <v>533</v>
      </c>
      <c r="AC10" s="14" t="s">
        <v>531</v>
      </c>
      <c r="AD10" s="14" t="s">
        <v>531</v>
      </c>
      <c r="AE10" s="50"/>
      <c r="AF10" s="14" t="s">
        <v>531</v>
      </c>
      <c r="AG10" s="14" t="s">
        <v>531</v>
      </c>
      <c r="AH10" s="14" t="s">
        <v>531</v>
      </c>
      <c r="AI10" s="14" t="s">
        <v>531</v>
      </c>
      <c r="AJ10" s="14" t="s">
        <v>531</v>
      </c>
      <c r="AK10" s="14" t="s">
        <v>531</v>
      </c>
      <c r="AL10" s="13" t="s">
        <v>530</v>
      </c>
      <c r="AM10" s="13" t="str">
        <f>IF(OR(Table12[[#This Row],[SUB_CON]]="CAUTION",Table12[[#This Row],[SUB_CON]]="POOR"),"BAD","GOOD")</f>
        <v>GOOD</v>
      </c>
      <c r="AN10" s="13" t="s">
        <v>621</v>
      </c>
      <c r="AO10" s="13" t="s">
        <v>625</v>
      </c>
      <c r="AP10" s="13" t="str" cm="1">
        <f t="array" ref="AP10">_xlfn.IFS(
Table12[[#This Row],[SUB_CON]]="GREAT","KEEP",
Table12[[#This Row],[SUB_CON]]="NORMAL","UPGRADE",
Table12[[#This Row],[SUB_CON]]="CAUTION","SERVICE",
Table12[[#This Row],[SUB_CON]]="POOR","DISPOSE")</f>
        <v>KEEP</v>
      </c>
      <c r="AQ10" s="41" t="s">
        <v>627</v>
      </c>
      <c r="AR10" s="13" t="s">
        <v>332</v>
      </c>
      <c r="AS10" s="13" t="s">
        <v>645</v>
      </c>
      <c r="AT10" s="13" t="s">
        <v>334</v>
      </c>
      <c r="AU10" s="13" t="s">
        <v>334</v>
      </c>
      <c r="AV10" s="13" t="s">
        <v>646</v>
      </c>
      <c r="AW10" s="13" t="s">
        <v>647</v>
      </c>
      <c r="AX10" s="14" t="str">
        <f>IF(Table12[[#This Row],[PIC_NIP]]&lt;&gt;999999,"IN USE",IF(AND(Table12[[#This Row],[NOTE_LOC]]="WAREHOUSE",Table12[[#This Row],[PIC_NIP]]=999999),"IN STORE","IN-ACTIVE"))</f>
        <v>IN USE</v>
      </c>
      <c r="AY10" s="50">
        <v>241681</v>
      </c>
      <c r="AZ10" s="23" t="s">
        <v>715</v>
      </c>
      <c r="BA10" s="13" t="str">
        <f>IF(COUNTBLANK(Table12[[#This Row],[ID_ASSET]:[ID_MAINTENANCE]])&gt;0,"VALIDATE [IN PROGRESS]","VALIDATE [DONE]")</f>
        <v>VALIDATE [IN PROGRESS]</v>
      </c>
      <c r="BB10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NB.0448O99-ITD-NB01974BJM44MASHQEQP2400036LAPTOPDELLLatitude 3450i5-1345U13165120NAWindowsTBDGoodGoodHDMI [Good]GoodGoodGoodGoodGoodGoodGoodGoodWiFI, EthernetGOODGREATGOOD PERFORMANCEKEEPTidak adaPICPERSONAL--MOBILEUSER MOBILE241681ME01-251012'),</v>
      </c>
      <c r="BC10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('NB.0448','O99-ITD-NB019','74BJM44','MASHQEQP2400036','LAPTOP','DELL','Latitude 3450','i5-1345U','13','16','','','512','','0','NA','Windows','','','','TBD','','','','Good','Good','HDMI [Good]','Good','Good','','Good','Good','Good','Good','Good','Good','WiFI, Ethernet','GOOD','GREAT','GOOD PERFORMANCE','KEEP','Tidak ada','PIC','PERSONAL','-','-','MOBILE','USER MOBILE','241681','ME01-251012'),</v>
      </c>
    </row>
    <row r="11" spans="1:55" ht="16.5" x14ac:dyDescent="0.25">
      <c r="A11" s="3" t="str">
        <f>IF(Table12[[#This Row],[VAL-1]]="VALIDATE [DONE]","✓","✗")</f>
        <v>✗</v>
      </c>
      <c r="B11" s="28" t="s">
        <v>594</v>
      </c>
      <c r="C11" s="13" t="s">
        <v>605</v>
      </c>
      <c r="D11" s="13" t="s">
        <v>570</v>
      </c>
      <c r="E11" s="13" t="s">
        <v>561</v>
      </c>
      <c r="F11" s="13" t="str">
        <f>_xlfn.IFS(LEFT(Table12[[#This Row],[ID_ASSET]],2)="DT","PC DESKTOP",LEFT(Table12[[#This Row],[ID_ASSET]],2)="NB","LAPTOP")</f>
        <v>LAPTOP</v>
      </c>
      <c r="G11" s="13" t="s">
        <v>499</v>
      </c>
      <c r="H11" s="13" t="s">
        <v>613</v>
      </c>
      <c r="I11" s="13" t="s">
        <v>618</v>
      </c>
      <c r="J11" s="50">
        <v>13</v>
      </c>
      <c r="K11" s="50">
        <v>16</v>
      </c>
      <c r="L11" s="50"/>
      <c r="M11" s="54"/>
      <c r="N11" s="50">
        <v>512</v>
      </c>
      <c r="O11" s="52"/>
      <c r="P11" s="50">
        <v>0</v>
      </c>
      <c r="Q11" s="52" t="s">
        <v>508</v>
      </c>
      <c r="R11" s="13" t="s">
        <v>509</v>
      </c>
      <c r="S11" s="13"/>
      <c r="T11" s="13"/>
      <c r="U11" s="55"/>
      <c r="V11" s="55" t="s">
        <v>644</v>
      </c>
      <c r="W11" s="57" t="str">
        <f>IFERROR(IF(Table12[[#This Row],[CATEGORY]]="PC DESKTOP","NA",(Table12[[#This Row],[FCC]]/Table12[[#This Row],[DC]])),"")</f>
        <v/>
      </c>
      <c r="X11" s="58"/>
      <c r="Y11" s="58"/>
      <c r="Z11" s="14" t="s">
        <v>531</v>
      </c>
      <c r="AA11" s="14" t="s">
        <v>531</v>
      </c>
      <c r="AB11" s="13" t="s">
        <v>533</v>
      </c>
      <c r="AC11" s="14" t="s">
        <v>531</v>
      </c>
      <c r="AD11" s="14" t="s">
        <v>531</v>
      </c>
      <c r="AE11" s="50"/>
      <c r="AF11" s="14" t="s">
        <v>531</v>
      </c>
      <c r="AG11" s="14" t="s">
        <v>531</v>
      </c>
      <c r="AH11" s="14" t="s">
        <v>531</v>
      </c>
      <c r="AI11" s="14" t="s">
        <v>531</v>
      </c>
      <c r="AJ11" s="14" t="s">
        <v>531</v>
      </c>
      <c r="AK11" s="14" t="s">
        <v>531</v>
      </c>
      <c r="AL11" s="13" t="s">
        <v>530</v>
      </c>
      <c r="AM11" s="13" t="str">
        <f>IF(OR(Table12[[#This Row],[SUB_CON]]="CAUTION",Table12[[#This Row],[SUB_CON]]="POOR"),"BAD","GOOD")</f>
        <v>GOOD</v>
      </c>
      <c r="AN11" s="13" t="s">
        <v>621</v>
      </c>
      <c r="AO11" s="13" t="s">
        <v>625</v>
      </c>
      <c r="AP11" s="13" t="str" cm="1">
        <f t="array" ref="AP11">_xlfn.IFS(
Table12[[#This Row],[SUB_CON]]="GREAT","KEEP",
Table12[[#This Row],[SUB_CON]]="NORMAL","UPGRADE",
Table12[[#This Row],[SUB_CON]]="CAUTION","SERVICE",
Table12[[#This Row],[SUB_CON]]="POOR","DISPOSE")</f>
        <v>KEEP</v>
      </c>
      <c r="AQ11" s="41" t="s">
        <v>627</v>
      </c>
      <c r="AR11" s="13" t="s">
        <v>332</v>
      </c>
      <c r="AS11" s="13" t="s">
        <v>645</v>
      </c>
      <c r="AT11" s="13" t="s">
        <v>334</v>
      </c>
      <c r="AU11" s="13" t="s">
        <v>334</v>
      </c>
      <c r="AV11" s="13" t="s">
        <v>646</v>
      </c>
      <c r="AW11" s="13" t="s">
        <v>647</v>
      </c>
      <c r="AX11" s="14" t="str">
        <f>IF(Table12[[#This Row],[PIC_NIP]]&lt;&gt;999999,"IN USE",IF(AND(Table12[[#This Row],[NOTE_LOC]]="WAREHOUSE",Table12[[#This Row],[PIC_NIP]]=999999),"IN STORE","IN-ACTIVE"))</f>
        <v>IN USE</v>
      </c>
      <c r="AY11" s="50">
        <v>241815</v>
      </c>
      <c r="AZ11" s="23" t="s">
        <v>715</v>
      </c>
      <c r="BA11" s="13" t="str">
        <f>IF(COUNTBLANK(Table12[[#This Row],[ID_ASSET]:[ID_MAINTENANCE]])&gt;0,"VALIDATE [IN PROGRESS]","VALIDATE [DONE]")</f>
        <v>VALIDATE [IN PROGRESS]</v>
      </c>
      <c r="BB11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NB.0452O99-ITD-NB020BB1JM44MASHQEQP2400053LAPTOPDELLLatitude 3450i5-1345U13165120NAWindowsTBDGoodGoodHDMI [Good]GoodGoodGoodGoodGoodGoodGoodGoodWiFI, EthernetGOODGREATGOOD PERFORMANCEKEEPTidak adaPICPERSONAL--MOBILEUSER MOBILE241815ME01-251012'),</v>
      </c>
      <c r="BC11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('NB.0452','O99-ITD-NB020','BB1JM44','MASHQEQP2400053','LAPTOP','DELL','Latitude 3450','i5-1345U','13','16','','','512','','0','NA','Windows','','','','TBD','','','','Good','Good','HDMI [Good]','Good','Good','','Good','Good','Good','Good','Good','Good','WiFI, Ethernet','GOOD','GREAT','GOOD PERFORMANCE','KEEP','Tidak ada','PIC','PERSONAL','-','-','MOBILE','USER MOBILE','241815','ME01-251012'),</v>
      </c>
    </row>
    <row r="12" spans="1:55" ht="16.5" x14ac:dyDescent="0.25">
      <c r="A12" s="3" t="str">
        <f>IF(Table12[[#This Row],[VAL-1]]="VALIDATE [DONE]","✓","✗")</f>
        <v>✗</v>
      </c>
      <c r="B12" s="28" t="s">
        <v>595</v>
      </c>
      <c r="C12" s="13" t="s">
        <v>606</v>
      </c>
      <c r="D12" s="13" t="s">
        <v>571</v>
      </c>
      <c r="E12" s="13" t="s">
        <v>562</v>
      </c>
      <c r="F12" s="13" t="str">
        <f>_xlfn.IFS(LEFT(Table12[[#This Row],[ID_ASSET]],2)="DT","PC DESKTOP",LEFT(Table12[[#This Row],[ID_ASSET]],2)="NB","LAPTOP")</f>
        <v>LAPTOP</v>
      </c>
      <c r="G12" s="13" t="s">
        <v>499</v>
      </c>
      <c r="H12" s="13" t="s">
        <v>613</v>
      </c>
      <c r="I12" s="13" t="s">
        <v>618</v>
      </c>
      <c r="J12" s="50">
        <v>13</v>
      </c>
      <c r="K12" s="50">
        <v>16</v>
      </c>
      <c r="L12" s="50"/>
      <c r="M12" s="54"/>
      <c r="N12" s="50">
        <v>512</v>
      </c>
      <c r="O12" s="52"/>
      <c r="P12" s="50">
        <v>0</v>
      </c>
      <c r="Q12" s="52" t="s">
        <v>508</v>
      </c>
      <c r="R12" s="13" t="s">
        <v>509</v>
      </c>
      <c r="S12" s="13"/>
      <c r="T12" s="13"/>
      <c r="U12" s="55"/>
      <c r="V12" s="55" t="s">
        <v>644</v>
      </c>
      <c r="W12" s="57" t="str">
        <f>IFERROR(IF(Table12[[#This Row],[CATEGORY]]="PC DESKTOP","NA",(Table12[[#This Row],[FCC]]/Table12[[#This Row],[DC]])),"")</f>
        <v/>
      </c>
      <c r="X12" s="58"/>
      <c r="Y12" s="58"/>
      <c r="Z12" s="14" t="s">
        <v>531</v>
      </c>
      <c r="AA12" s="14" t="s">
        <v>531</v>
      </c>
      <c r="AB12" s="13" t="s">
        <v>533</v>
      </c>
      <c r="AC12" s="14" t="s">
        <v>531</v>
      </c>
      <c r="AD12" s="14" t="s">
        <v>531</v>
      </c>
      <c r="AE12" s="50"/>
      <c r="AF12" s="14" t="s">
        <v>531</v>
      </c>
      <c r="AG12" s="14" t="s">
        <v>531</v>
      </c>
      <c r="AH12" s="14" t="s">
        <v>531</v>
      </c>
      <c r="AI12" s="14" t="s">
        <v>531</v>
      </c>
      <c r="AJ12" s="14" t="s">
        <v>531</v>
      </c>
      <c r="AK12" s="14" t="s">
        <v>531</v>
      </c>
      <c r="AL12" s="13" t="s">
        <v>530</v>
      </c>
      <c r="AM12" s="13" t="str">
        <f>IF(OR(Table12[[#This Row],[SUB_CON]]="CAUTION",Table12[[#This Row],[SUB_CON]]="POOR"),"BAD","GOOD")</f>
        <v>GOOD</v>
      </c>
      <c r="AN12" s="13" t="s">
        <v>621</v>
      </c>
      <c r="AO12" s="13" t="s">
        <v>625</v>
      </c>
      <c r="AP12" s="13" t="str" cm="1">
        <f t="array" ref="AP12">_xlfn.IFS(
Table12[[#This Row],[SUB_CON]]="GREAT","KEEP",
Table12[[#This Row],[SUB_CON]]="NORMAL","UPGRADE",
Table12[[#This Row],[SUB_CON]]="CAUTION","SERVICE",
Table12[[#This Row],[SUB_CON]]="POOR","DISPOSE")</f>
        <v>KEEP</v>
      </c>
      <c r="AQ12" s="41" t="s">
        <v>627</v>
      </c>
      <c r="AR12" s="13" t="s">
        <v>332</v>
      </c>
      <c r="AS12" s="13" t="s">
        <v>645</v>
      </c>
      <c r="AT12" s="13" t="s">
        <v>334</v>
      </c>
      <c r="AU12" s="13" t="s">
        <v>334</v>
      </c>
      <c r="AV12" s="13" t="s">
        <v>646</v>
      </c>
      <c r="AW12" s="13" t="s">
        <v>647</v>
      </c>
      <c r="AX12" s="14" t="str">
        <f>IF(Table12[[#This Row],[PIC_NIP]]&lt;&gt;999999,"IN USE",IF(AND(Table12[[#This Row],[NOTE_LOC]]="WAREHOUSE",Table12[[#This Row],[PIC_NIP]]=999999),"IN STORE","IN-ACTIVE"))</f>
        <v>IN USE</v>
      </c>
      <c r="AY12" s="50">
        <v>180362</v>
      </c>
      <c r="AZ12" s="23" t="s">
        <v>715</v>
      </c>
      <c r="BA12" s="13" t="str">
        <f>IF(COUNTBLANK(Table12[[#This Row],[ID_ASSET]:[ID_MAINTENANCE]])&gt;0,"VALIDATE [IN PROGRESS]","VALIDATE [DONE]")</f>
        <v>VALIDATE [IN PROGRESS]</v>
      </c>
      <c r="BB12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NB.0470O99-ITD-NB021B76JM44MASHQEQP2400061LAPTOPDELLLatitude 3450i5-1345U13165120NAWindowsTBDGoodGoodHDMI [Good]GoodGoodGoodGoodGoodGoodGoodGoodWiFI, EthernetGOODGREATGOOD PERFORMANCEKEEPTidak adaPICPERSONAL--MOBILEUSER MOBILE180362ME01-251012'),</v>
      </c>
      <c r="BC12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('NB.0470','O99-ITD-NB021','B76JM44','MASHQEQP2400061','LAPTOP','DELL','Latitude 3450','i5-1345U','13','16','','','512','','0','NA','Windows','','','','TBD','','','','Good','Good','HDMI [Good]','Good','Good','','Good','Good','Good','Good','Good','Good','WiFI, Ethernet','GOOD','GREAT','GOOD PERFORMANCE','KEEP','Tidak ada','PIC','PERSONAL','-','-','MOBILE','USER MOBILE','180362','ME01-251012'),</v>
      </c>
    </row>
    <row r="13" spans="1:55" ht="16.5" x14ac:dyDescent="0.25">
      <c r="A13" s="3" t="str">
        <f>IF(Table12[[#This Row],[VAL-1]]="VALIDATE [DONE]","✓","✗")</f>
        <v>✗</v>
      </c>
      <c r="B13" s="28" t="s">
        <v>596</v>
      </c>
      <c r="C13" s="13" t="s">
        <v>607</v>
      </c>
      <c r="D13" s="13" t="s">
        <v>572</v>
      </c>
      <c r="E13" s="13" t="s">
        <v>563</v>
      </c>
      <c r="F13" s="13" t="str">
        <f>_xlfn.IFS(LEFT(Table12[[#This Row],[ID_ASSET]],2)="DT","PC DESKTOP",LEFT(Table12[[#This Row],[ID_ASSET]],2)="NB","LAPTOP")</f>
        <v>LAPTOP</v>
      </c>
      <c r="G13" s="13" t="s">
        <v>499</v>
      </c>
      <c r="H13" s="13" t="s">
        <v>613</v>
      </c>
      <c r="I13" s="13" t="s">
        <v>618</v>
      </c>
      <c r="J13" s="50">
        <v>13</v>
      </c>
      <c r="K13" s="50">
        <v>16</v>
      </c>
      <c r="L13" s="50"/>
      <c r="M13" s="54"/>
      <c r="N13" s="50">
        <v>512</v>
      </c>
      <c r="O13" s="52"/>
      <c r="P13" s="50">
        <v>0</v>
      </c>
      <c r="Q13" s="52" t="s">
        <v>508</v>
      </c>
      <c r="R13" s="13" t="s">
        <v>509</v>
      </c>
      <c r="S13" s="13"/>
      <c r="T13" s="13"/>
      <c r="U13" s="55"/>
      <c r="V13" s="55" t="s">
        <v>644</v>
      </c>
      <c r="W13" s="57" t="str">
        <f>IFERROR(IF(Table12[[#This Row],[CATEGORY]]="PC DESKTOP","NA",(Table12[[#This Row],[FCC]]/Table12[[#This Row],[DC]])),"")</f>
        <v/>
      </c>
      <c r="X13" s="58"/>
      <c r="Y13" s="58"/>
      <c r="Z13" s="14" t="s">
        <v>531</v>
      </c>
      <c r="AA13" s="14" t="s">
        <v>531</v>
      </c>
      <c r="AB13" s="13" t="s">
        <v>533</v>
      </c>
      <c r="AC13" s="14" t="s">
        <v>531</v>
      </c>
      <c r="AD13" s="14" t="s">
        <v>531</v>
      </c>
      <c r="AE13" s="50"/>
      <c r="AF13" s="14" t="s">
        <v>531</v>
      </c>
      <c r="AG13" s="14" t="s">
        <v>531</v>
      </c>
      <c r="AH13" s="14" t="s">
        <v>531</v>
      </c>
      <c r="AI13" s="14" t="s">
        <v>531</v>
      </c>
      <c r="AJ13" s="14" t="s">
        <v>531</v>
      </c>
      <c r="AK13" s="14" t="s">
        <v>531</v>
      </c>
      <c r="AL13" s="13" t="s">
        <v>530</v>
      </c>
      <c r="AM13" s="13" t="str">
        <f>IF(OR(Table12[[#This Row],[SUB_CON]]="CAUTION",Table12[[#This Row],[SUB_CON]]="POOR"),"BAD","GOOD")</f>
        <v>GOOD</v>
      </c>
      <c r="AN13" s="13" t="s">
        <v>621</v>
      </c>
      <c r="AO13" s="13" t="s">
        <v>625</v>
      </c>
      <c r="AP13" s="13" t="str" cm="1">
        <f t="array" ref="AP13">_xlfn.IFS(
Table12[[#This Row],[SUB_CON]]="GREAT","KEEP",
Table12[[#This Row],[SUB_CON]]="NORMAL","UPGRADE",
Table12[[#This Row],[SUB_CON]]="CAUTION","SERVICE",
Table12[[#This Row],[SUB_CON]]="POOR","DISPOSE")</f>
        <v>KEEP</v>
      </c>
      <c r="AQ13" s="41" t="s">
        <v>627</v>
      </c>
      <c r="AR13" s="13" t="s">
        <v>332</v>
      </c>
      <c r="AS13" s="13" t="s">
        <v>645</v>
      </c>
      <c r="AT13" s="13" t="s">
        <v>334</v>
      </c>
      <c r="AU13" s="13" t="s">
        <v>334</v>
      </c>
      <c r="AV13" s="13" t="s">
        <v>646</v>
      </c>
      <c r="AW13" s="13" t="s">
        <v>647</v>
      </c>
      <c r="AX13" s="14" t="str">
        <f>IF(Table12[[#This Row],[PIC_NIP]]&lt;&gt;999999,"IN USE",IF(AND(Table12[[#This Row],[NOTE_LOC]]="WAREHOUSE",Table12[[#This Row],[PIC_NIP]]=999999),"IN STORE","IN-ACTIVE"))</f>
        <v>IN USE</v>
      </c>
      <c r="AY13" s="50">
        <v>232054</v>
      </c>
      <c r="AZ13" s="23" t="s">
        <v>715</v>
      </c>
      <c r="BA13" s="13" t="str">
        <f>IF(COUNTBLANK(Table12[[#This Row],[ID_ASSET]:[ID_MAINTENANCE]])&gt;0,"VALIDATE [IN PROGRESS]","VALIDATE [DONE]")</f>
        <v>VALIDATE [IN PROGRESS]</v>
      </c>
      <c r="BB13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NB.0471O99-ITD-NB022CS9JM44MASHQEQP2400062LAPTOPDELLLatitude 3450i5-1345U13165120NAWindowsTBDGoodGoodHDMI [Good]GoodGoodGoodGoodGoodGoodGoodGoodWiFI, EthernetGOODGREATGOOD PERFORMANCEKEEPTidak adaPICPERSONAL--MOBILEUSER MOBILE232054ME01-251012'),</v>
      </c>
      <c r="BC13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('NB.0471','O99-ITD-NB022','CS9JM44','MASHQEQP2400062','LAPTOP','DELL','Latitude 3450','i5-1345U','13','16','','','512','','0','NA','Windows','','','','TBD','','','','Good','Good','HDMI [Good]','Good','Good','','Good','Good','Good','Good','Good','Good','WiFI, Ethernet','GOOD','GREAT','GOOD PERFORMANCE','KEEP','Tidak ada','PIC','PERSONAL','-','-','MOBILE','USER MOBILE','232054','ME01-251012'),</v>
      </c>
    </row>
    <row r="14" spans="1:55" ht="16.5" x14ac:dyDescent="0.25">
      <c r="A14" s="3" t="str">
        <f>IF(Table12[[#This Row],[VAL-1]]="VALIDATE [DONE]","✓","✗")</f>
        <v>✓</v>
      </c>
      <c r="B14" s="28" t="s">
        <v>597</v>
      </c>
      <c r="C14" s="13" t="s">
        <v>651</v>
      </c>
      <c r="D14" s="13" t="s">
        <v>573</v>
      </c>
      <c r="E14" s="13" t="s">
        <v>550</v>
      </c>
      <c r="F14" s="13" t="str">
        <f>_xlfn.IFS(LEFT(Table12[[#This Row],[ID_ASSET]],2)="DT","PC DESKTOP",LEFT(Table12[[#This Row],[ID_ASSET]],2)="NB","LAPTOP")</f>
        <v>LAPTOP</v>
      </c>
      <c r="G14" s="13" t="s">
        <v>499</v>
      </c>
      <c r="H14" s="13" t="s">
        <v>613</v>
      </c>
      <c r="I14" s="13" t="s">
        <v>618</v>
      </c>
      <c r="J14" s="50">
        <v>13</v>
      </c>
      <c r="K14" s="50">
        <v>16</v>
      </c>
      <c r="L14" s="50" t="s">
        <v>639</v>
      </c>
      <c r="M14" s="54" t="s">
        <v>649</v>
      </c>
      <c r="N14" s="50">
        <v>512</v>
      </c>
      <c r="O14" s="52" t="s">
        <v>650</v>
      </c>
      <c r="P14" s="50">
        <v>0</v>
      </c>
      <c r="Q14" s="52" t="s">
        <v>508</v>
      </c>
      <c r="R14" s="13" t="s">
        <v>509</v>
      </c>
      <c r="S14" s="13" t="s">
        <v>510</v>
      </c>
      <c r="T14" s="13" t="s">
        <v>513</v>
      </c>
      <c r="U14" s="55" t="s">
        <v>648</v>
      </c>
      <c r="V14" s="55" t="s">
        <v>652</v>
      </c>
      <c r="W14" s="57">
        <f>IFERROR(IF(Table12[[#This Row],[CATEGORY]]="PC DESKTOP","NA",(Table12[[#This Row],[FCC]]/Table12[[#This Row],[DC]])),"")</f>
        <v>0.75384245027961927</v>
      </c>
      <c r="X14" s="58">
        <v>54002</v>
      </c>
      <c r="Y14" s="58">
        <v>40709</v>
      </c>
      <c r="Z14" s="14" t="s">
        <v>531</v>
      </c>
      <c r="AA14" s="14" t="s">
        <v>531</v>
      </c>
      <c r="AB14" s="13" t="s">
        <v>533</v>
      </c>
      <c r="AC14" s="14" t="s">
        <v>531</v>
      </c>
      <c r="AD14" s="14" t="s">
        <v>531</v>
      </c>
      <c r="AE14" s="50" t="s">
        <v>653</v>
      </c>
      <c r="AF14" s="14" t="s">
        <v>531</v>
      </c>
      <c r="AG14" s="14" t="s">
        <v>531</v>
      </c>
      <c r="AH14" s="14" t="s">
        <v>531</v>
      </c>
      <c r="AI14" s="14" t="s">
        <v>531</v>
      </c>
      <c r="AJ14" s="14" t="s">
        <v>531</v>
      </c>
      <c r="AK14" s="14" t="s">
        <v>531</v>
      </c>
      <c r="AL14" s="13" t="s">
        <v>530</v>
      </c>
      <c r="AM14" s="13" t="str">
        <f>IF(OR(Table12[[#This Row],[SUB_CON]]="CAUTION",Table12[[#This Row],[SUB_CON]]="POOR"),"BAD","GOOD")</f>
        <v>GOOD</v>
      </c>
      <c r="AN14" s="13" t="s">
        <v>621</v>
      </c>
      <c r="AO14" s="13" t="s">
        <v>625</v>
      </c>
      <c r="AP14" s="13" t="str" cm="1">
        <f t="array" ref="AP14">_xlfn.IFS(
Table12[[#This Row],[SUB_CON]]="GREAT","KEEP",
Table12[[#This Row],[SUB_CON]]="NORMAL","UPGRADE",
Table12[[#This Row],[SUB_CON]]="CAUTION","SERVICE",
Table12[[#This Row],[SUB_CON]]="POOR","DISPOSE")</f>
        <v>KEEP</v>
      </c>
      <c r="AQ14" s="41" t="s">
        <v>627</v>
      </c>
      <c r="AR14" s="13" t="s">
        <v>332</v>
      </c>
      <c r="AS14" s="13" t="s">
        <v>645</v>
      </c>
      <c r="AT14" s="13" t="s">
        <v>334</v>
      </c>
      <c r="AU14" s="13" t="s">
        <v>334</v>
      </c>
      <c r="AV14" s="13" t="s">
        <v>646</v>
      </c>
      <c r="AW14" s="13" t="s">
        <v>647</v>
      </c>
      <c r="AX14" s="14" t="str">
        <f>IF(Table12[[#This Row],[PIC_NIP]]&lt;&gt;999999,"IN USE",IF(AND(Table12[[#This Row],[NOTE_LOC]]="WAREHOUSE",Table12[[#This Row],[PIC_NIP]]=999999),"IN STORE","IN-ACTIVE"))</f>
        <v>IN USE</v>
      </c>
      <c r="AY14" s="50">
        <v>240025</v>
      </c>
      <c r="AZ14" s="23" t="s">
        <v>715</v>
      </c>
      <c r="BA14" s="13" t="str">
        <f>IF(COUNTBLANK(Table12[[#This Row],[ID_ASSET]:[ID_MAINTENANCE]])&gt;0,"VALIDATE [IN PROGRESS]","VALIDATE [DONE]")</f>
        <v>VALIDATE [DONE]</v>
      </c>
      <c r="BB14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NB.0472O99-ITD-NB09915BJM44MASHQEQP2400063LAPTOPDELLLatitude 3450i5-1345U13162 of 2DDR5, SO-DIMM, 5600 Mhz512SSD M.2 Nvme/Micorn 2400A0NAWindowsWindows 11 Pro24H200355-61745-26884-AAOEMY83MP-N97VD-98VFC-7YHQ4-844TG0,7538424502796195400240709GoodGoodHDMI [Good]GoodGoodA[3/3]-C[1/1]GoodGoodGoodGoodGoodGoodWiFI, EthernetGOODGREATGOOD PERFORMANCEKEEPTidak adaPICPERSONAL--MOBILEUSER MOBILE240025ME01-251012'),</v>
      </c>
      <c r="BC14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('NB.0472','O99-ITD-NB099','15BJM44','MASHQEQP2400063','LAPTOP','DELL','Latitude 3450','i5-1345U','13','16','2 of 2','DDR5, SO-DIMM, 5600 Mhz','512','SSD M.2 Nvme/Micorn 2400A','0','NA','Windows','Windows 11 Pro','24H2','00355-61745-26884-AAOEM','Y83MP-N97VD-98VFC-7YHQ4-844TG','0,753842450279619','54002','40709','Good','Good','HDMI [Good]','Good','Good','A[3/3]-C[1/1]','Good','Good','Good','Good','Good','Good','WiFI, Ethernet','GOOD','GREAT','GOOD PERFORMANCE','KEEP','Tidak ada','PIC','PERSONAL','-','-','MOBILE','USER MOBILE','240025','ME01-251012'),</v>
      </c>
    </row>
    <row r="15" spans="1:55" ht="16.5" x14ac:dyDescent="0.25">
      <c r="A15" s="3" t="str">
        <f>IF(Table12[[#This Row],[VAL-1]]="VALIDATE [DONE]","✓","✗")</f>
        <v>✗</v>
      </c>
      <c r="B15" s="28" t="s">
        <v>598</v>
      </c>
      <c r="C15" s="13" t="s">
        <v>608</v>
      </c>
      <c r="D15" s="13" t="s">
        <v>574</v>
      </c>
      <c r="E15" s="13" t="s">
        <v>564</v>
      </c>
      <c r="F15" s="13" t="str">
        <f>_xlfn.IFS(LEFT(Table12[[#This Row],[ID_ASSET]],2)="DT","PC DESKTOP",LEFT(Table12[[#This Row],[ID_ASSET]],2)="NB","LAPTOP")</f>
        <v>LAPTOP</v>
      </c>
      <c r="G15" s="13" t="s">
        <v>499</v>
      </c>
      <c r="H15" s="13" t="s">
        <v>613</v>
      </c>
      <c r="I15" s="13" t="s">
        <v>618</v>
      </c>
      <c r="J15" s="50">
        <v>13</v>
      </c>
      <c r="K15" s="50">
        <v>16</v>
      </c>
      <c r="L15" s="50"/>
      <c r="M15" s="54"/>
      <c r="N15" s="50">
        <v>512</v>
      </c>
      <c r="O15" s="52"/>
      <c r="P15" s="50">
        <v>0</v>
      </c>
      <c r="Q15" s="52" t="s">
        <v>508</v>
      </c>
      <c r="R15" s="13" t="s">
        <v>509</v>
      </c>
      <c r="S15" s="13"/>
      <c r="T15" s="13"/>
      <c r="U15" s="55"/>
      <c r="V15" s="55" t="s">
        <v>644</v>
      </c>
      <c r="W15" s="57" t="str">
        <f>IFERROR(IF(Table12[[#This Row],[CATEGORY]]="PC DESKTOP","NA",(Table12[[#This Row],[FCC]]/Table12[[#This Row],[DC]])),"")</f>
        <v/>
      </c>
      <c r="X15" s="58"/>
      <c r="Y15" s="58"/>
      <c r="Z15" s="14" t="s">
        <v>531</v>
      </c>
      <c r="AA15" s="14" t="s">
        <v>531</v>
      </c>
      <c r="AB15" s="13" t="s">
        <v>533</v>
      </c>
      <c r="AC15" s="14" t="s">
        <v>531</v>
      </c>
      <c r="AD15" s="14" t="s">
        <v>531</v>
      </c>
      <c r="AE15" s="50"/>
      <c r="AF15" s="14" t="s">
        <v>531</v>
      </c>
      <c r="AG15" s="14" t="s">
        <v>531</v>
      </c>
      <c r="AH15" s="14" t="s">
        <v>531</v>
      </c>
      <c r="AI15" s="14" t="s">
        <v>531</v>
      </c>
      <c r="AJ15" s="14" t="s">
        <v>531</v>
      </c>
      <c r="AK15" s="14" t="s">
        <v>531</v>
      </c>
      <c r="AL15" s="13" t="s">
        <v>530</v>
      </c>
      <c r="AM15" s="13" t="str">
        <f>IF(OR(Table12[[#This Row],[SUB_CON]]="CAUTION",Table12[[#This Row],[SUB_CON]]="POOR"),"BAD","GOOD")</f>
        <v>GOOD</v>
      </c>
      <c r="AN15" s="13" t="s">
        <v>621</v>
      </c>
      <c r="AO15" s="13" t="s">
        <v>625</v>
      </c>
      <c r="AP15" s="13" t="str" cm="1">
        <f t="array" ref="AP15">_xlfn.IFS(
Table12[[#This Row],[SUB_CON]]="GREAT","KEEP",
Table12[[#This Row],[SUB_CON]]="NORMAL","UPGRADE",
Table12[[#This Row],[SUB_CON]]="CAUTION","SERVICE",
Table12[[#This Row],[SUB_CON]]="POOR","DISPOSE")</f>
        <v>KEEP</v>
      </c>
      <c r="AQ15" s="41" t="s">
        <v>627</v>
      </c>
      <c r="AR15" s="13" t="s">
        <v>332</v>
      </c>
      <c r="AS15" s="13" t="s">
        <v>645</v>
      </c>
      <c r="AT15" s="13" t="s">
        <v>334</v>
      </c>
      <c r="AU15" s="13" t="s">
        <v>334</v>
      </c>
      <c r="AV15" s="13" t="s">
        <v>646</v>
      </c>
      <c r="AW15" s="13" t="s">
        <v>647</v>
      </c>
      <c r="AX15" s="14" t="str">
        <f>IF(Table12[[#This Row],[PIC_NIP]]&lt;&gt;999999,"IN USE",IF(AND(Table12[[#This Row],[NOTE_LOC]]="WAREHOUSE",Table12[[#This Row],[PIC_NIP]]=999999),"IN STORE","IN-ACTIVE"))</f>
        <v>IN USE</v>
      </c>
      <c r="AY15" s="50">
        <v>231399</v>
      </c>
      <c r="AZ15" s="23" t="s">
        <v>715</v>
      </c>
      <c r="BA15" s="13" t="str">
        <f>IF(COUNTBLANK(Table12[[#This Row],[ID_ASSET]:[ID_MAINTENANCE]])&gt;0,"VALIDATE [IN PROGRESS]","VALIDATE [DONE]")</f>
        <v>VALIDATE [IN PROGRESS]</v>
      </c>
      <c r="BB15" s="13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NB.0475O99-ITD-NB024FC1JM44MASHQEQP2400066LAPTOPDELLLatitude 3450i5-1345U13165120NAWindowsTBDGoodGoodHDMI [Good]GoodGoodGoodGoodGoodGoodGoodGoodWiFI, EthernetGOODGREATGOOD PERFORMANCEKEEPTidak adaPICPERSONAL--MOBILEUSER MOBILE231399ME01-251012'),</v>
      </c>
      <c r="BC15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('NB.0475','O99-ITD-NB024','FC1JM44','MASHQEQP2400066','LAPTOP','DELL','Latitude 3450','i5-1345U','13','16','','','512','','0','NA','Windows','','','','TBD','','','','Good','Good','HDMI [Good]','Good','Good','','Good','Good','Good','Good','Good','Good','WiFI, Ethernet','GOOD','GREAT','GOOD PERFORMANCE','KEEP','Tidak ada','PIC','PERSONAL','-','-','MOBILE','USER MOBILE','231399','ME01-251012'),</v>
      </c>
    </row>
    <row r="16" spans="1:55" ht="16.5" x14ac:dyDescent="0.25">
      <c r="A16" s="3" t="str">
        <f>IF(Table12[[#This Row],[VAL-1]]="VALIDATE [DONE]","✓","✗")</f>
        <v>✗</v>
      </c>
      <c r="B16" s="29" t="s">
        <v>599</v>
      </c>
      <c r="C16" s="25" t="s">
        <v>609</v>
      </c>
      <c r="D16" s="25" t="s">
        <v>575</v>
      </c>
      <c r="E16" s="49" t="s">
        <v>749</v>
      </c>
      <c r="F16" s="25" t="str">
        <f>_xlfn.IFS(LEFT(Table12[[#This Row],[ID_ASSET]],2)="DT","PC DESKTOP",LEFT(Table12[[#This Row],[ID_ASSET]],2)="NB","LAPTOP")</f>
        <v>PC DESKTOP</v>
      </c>
      <c r="G16" s="13" t="s">
        <v>499</v>
      </c>
      <c r="H16" s="25" t="s">
        <v>614</v>
      </c>
      <c r="I16" s="25" t="s">
        <v>615</v>
      </c>
      <c r="J16" s="51">
        <v>8</v>
      </c>
      <c r="K16" s="51">
        <v>4</v>
      </c>
      <c r="L16" s="50"/>
      <c r="M16" s="54"/>
      <c r="N16" s="51">
        <v>0</v>
      </c>
      <c r="O16" s="52" t="s">
        <v>508</v>
      </c>
      <c r="P16" s="51">
        <v>1000</v>
      </c>
      <c r="Q16" s="52" t="s">
        <v>619</v>
      </c>
      <c r="R16" s="13" t="s">
        <v>509</v>
      </c>
      <c r="S16" s="13"/>
      <c r="T16" s="13"/>
      <c r="U16" s="55"/>
      <c r="V16" s="55" t="s">
        <v>644</v>
      </c>
      <c r="W16" s="59" t="str">
        <f>IFERROR(IF(Table12[[#This Row],[CATEGORY]]="PC DESKTOP","NA",(Table12[[#This Row],[FCC]]/Table12[[#This Row],[DC]])),"")</f>
        <v>NA</v>
      </c>
      <c r="X16" s="58">
        <v>0</v>
      </c>
      <c r="Y16" s="58">
        <v>0</v>
      </c>
      <c r="Z16" s="14" t="s">
        <v>531</v>
      </c>
      <c r="AA16" s="14" t="s">
        <v>508</v>
      </c>
      <c r="AB16" s="13" t="s">
        <v>533</v>
      </c>
      <c r="AC16" s="14" t="s">
        <v>508</v>
      </c>
      <c r="AD16" s="14" t="s">
        <v>508</v>
      </c>
      <c r="AE16" s="50"/>
      <c r="AF16" s="14" t="s">
        <v>531</v>
      </c>
      <c r="AG16" s="14" t="s">
        <v>531</v>
      </c>
      <c r="AH16" s="14" t="s">
        <v>508</v>
      </c>
      <c r="AI16" s="14" t="s">
        <v>508</v>
      </c>
      <c r="AJ16" s="14" t="s">
        <v>508</v>
      </c>
      <c r="AK16" s="14" t="s">
        <v>508</v>
      </c>
      <c r="AL16" s="13" t="s">
        <v>530</v>
      </c>
      <c r="AM16" s="25" t="str">
        <f>IF(OR(Table12[[#This Row],[SUB_CON]]="CAUTION",Table12[[#This Row],[SUB_CON]]="POOR"),"BAD","GOOD")</f>
        <v>BAD</v>
      </c>
      <c r="AN16" s="25" t="s">
        <v>622</v>
      </c>
      <c r="AO16" s="25" t="s">
        <v>624</v>
      </c>
      <c r="AP16" s="25" t="str" cm="1">
        <f t="array" ref="AP16">_xlfn.IFS(
Table12[[#This Row],[SUB_CON]]="GREAT","KEEP",
Table12[[#This Row],[SUB_CON]]="NORMAL","UPGRADE",
Table12[[#This Row],[SUB_CON]]="CAUTION","SERVICE",
Table12[[#This Row],[SUB_CON]]="POOR","DISPOSE")</f>
        <v>DISPOSE</v>
      </c>
      <c r="AQ16" s="42" t="s">
        <v>627</v>
      </c>
      <c r="AR16" s="13" t="s">
        <v>332</v>
      </c>
      <c r="AS16" s="13" t="s">
        <v>631</v>
      </c>
      <c r="AT16" s="25" t="s">
        <v>632</v>
      </c>
      <c r="AU16" s="25" t="s">
        <v>334</v>
      </c>
      <c r="AV16" s="25" t="s">
        <v>293</v>
      </c>
      <c r="AW16" s="25" t="s">
        <v>630</v>
      </c>
      <c r="AX16" s="30" t="str">
        <f>IF(Table12[[#This Row],[PIC_NIP]]&lt;&gt;999999,"IN USE",IF(AND(Table12[[#This Row],[NOTE_LOC]]="WAREHOUSE",Table12[[#This Row],[PIC_NIP]]=999999),"IN STORE","IN-ACTIVE"))</f>
        <v>IN USE</v>
      </c>
      <c r="AY16" s="51">
        <v>220909</v>
      </c>
      <c r="AZ16" s="23" t="s">
        <v>715</v>
      </c>
      <c r="BA16" s="25" t="str">
        <f>IF(COUNTBLANK(Table12[[#This Row],[ID_ASSET]:[ID_MAINTENANCE]])&gt;0,"VALIDATE [IN PROGRESS]","VALIDATE [DONE]")</f>
        <v>VALIDATE [IN PROGRESS]</v>
      </c>
      <c r="BB16" s="25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DT.0374O99-ITD-DT001K7MSAC0001113SFMASHQEQP2000001PC DESKTOPDELLMini PC PN60-Ri5-8250U840NA1000HDD SATA 2.5"WindowsTBDNA00GoodNAHDMI [Good]NANAGoodGoodNANANANAWiFI, EthernetBADPOORNormalDISPOSETidak adaPICSYSTEMPC as Backups Email Users-O99Meja IT LT.21 ASGT220909ME01-251012'),</v>
      </c>
      <c r="BC16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('DT.0374','O99-ITD-DT001','K7MSAC0001113SF','MASHQEQP2000001','PC DESKTOP','DELL','Mini PC PN60-R','i5-8250U','8','4','','','0','NA','1000','HDD SATA 2.5"','Windows','','','','TBD','NA','0','0','Good','NA','HDMI [Good]','NA','NA','','Good','Good','NA','NA','NA','NA','WiFI, Ethernet','BAD','POOR','Normal','DISPOSE','Tidak ada','PIC','SYSTEM','PC as Backups Email Users','-','O99','Meja IT LT.21 ASGT','220909','ME01-251012'),</v>
      </c>
    </row>
    <row r="17" spans="1:55" ht="16.5" x14ac:dyDescent="0.25">
      <c r="A17" s="3" t="str">
        <f>IF(Table12[[#This Row],[VAL-1]]="VALIDATE [DONE]","✓","✗")</f>
        <v>✓</v>
      </c>
      <c r="B17" s="29" t="s">
        <v>734</v>
      </c>
      <c r="C17" s="25" t="s">
        <v>735</v>
      </c>
      <c r="D17" s="25" t="s">
        <v>736</v>
      </c>
      <c r="E17" s="25" t="s">
        <v>737</v>
      </c>
      <c r="F17" s="25" t="str">
        <f>_xlfn.IFS(LEFT(Table12[[#This Row],[ID_ASSET]],2)="DT","PC DESKTOP",LEFT(Table12[[#This Row],[ID_ASSET]],2)="NB","LAPTOP")</f>
        <v>LAPTOP</v>
      </c>
      <c r="G17" s="25" t="s">
        <v>499</v>
      </c>
      <c r="H17" s="25" t="s">
        <v>738</v>
      </c>
      <c r="I17" s="25" t="s">
        <v>739</v>
      </c>
      <c r="J17" s="51">
        <v>8</v>
      </c>
      <c r="K17" s="51">
        <v>8</v>
      </c>
      <c r="L17" s="51" t="s">
        <v>502</v>
      </c>
      <c r="M17" s="54" t="s">
        <v>760</v>
      </c>
      <c r="N17" s="51">
        <v>256</v>
      </c>
      <c r="O17" s="53" t="s">
        <v>759</v>
      </c>
      <c r="P17" s="51">
        <v>0</v>
      </c>
      <c r="Q17" s="53" t="s">
        <v>508</v>
      </c>
      <c r="R17" s="25" t="s">
        <v>509</v>
      </c>
      <c r="S17" s="25" t="s">
        <v>510</v>
      </c>
      <c r="T17" s="25" t="s">
        <v>513</v>
      </c>
      <c r="U17" s="56" t="s">
        <v>761</v>
      </c>
      <c r="V17" s="56" t="s">
        <v>644</v>
      </c>
      <c r="W17" s="59">
        <f>IFERROR(IF(Table12[[#This Row],[CATEGORY]]="PC DESKTOP","NA",(Table12[[#This Row],[FCC]]/Table12[[#This Row],[DC]])),"")</f>
        <v>0.14495928377541789</v>
      </c>
      <c r="X17" s="60">
        <v>41998</v>
      </c>
      <c r="Y17" s="60">
        <v>6088</v>
      </c>
      <c r="Z17" s="30" t="s">
        <v>531</v>
      </c>
      <c r="AA17" s="30" t="s">
        <v>531</v>
      </c>
      <c r="AB17" s="25" t="s">
        <v>533</v>
      </c>
      <c r="AC17" s="30" t="s">
        <v>531</v>
      </c>
      <c r="AD17" s="30" t="s">
        <v>531</v>
      </c>
      <c r="AE17" s="50" t="s">
        <v>762</v>
      </c>
      <c r="AF17" s="30" t="s">
        <v>531</v>
      </c>
      <c r="AG17" s="30" t="s">
        <v>531</v>
      </c>
      <c r="AH17" s="30" t="s">
        <v>531</v>
      </c>
      <c r="AI17" s="30" t="s">
        <v>531</v>
      </c>
      <c r="AJ17" s="30" t="s">
        <v>531</v>
      </c>
      <c r="AK17" s="30" t="s">
        <v>531</v>
      </c>
      <c r="AL17" s="25" t="s">
        <v>530</v>
      </c>
      <c r="AM17" s="25" t="str">
        <f>IF(OR(Table12[[#This Row],[SUB_CON]]="CAUTION",Table12[[#This Row],[SUB_CON]]="POOR"),"BAD","GOOD")</f>
        <v>BAD</v>
      </c>
      <c r="AN17" s="25" t="s">
        <v>740</v>
      </c>
      <c r="AO17" s="25" t="s">
        <v>741</v>
      </c>
      <c r="AP17" s="25" t="str" cm="1">
        <f t="array" ref="AP17">_xlfn.IFS(
Table12[[#This Row],[SUB_CON]]="GREAT","KEEP",
Table12[[#This Row],[SUB_CON]]="NORMAL","UPGRADE",
Table12[[#This Row],[SUB_CON]]="CAUTION","SERVICE",
Table12[[#This Row],[SUB_CON]]="POOR","DISPOSE")</f>
        <v>SERVICE</v>
      </c>
      <c r="AQ17" s="42" t="s">
        <v>743</v>
      </c>
      <c r="AR17" s="25" t="s">
        <v>763</v>
      </c>
      <c r="AS17" s="25" t="s">
        <v>645</v>
      </c>
      <c r="AT17" s="25" t="s">
        <v>334</v>
      </c>
      <c r="AU17" s="25" t="s">
        <v>334</v>
      </c>
      <c r="AV17" s="25" t="s">
        <v>441</v>
      </c>
      <c r="AW17" s="25" t="s">
        <v>744</v>
      </c>
      <c r="AX17" s="30" t="str">
        <f>IF(Table12[[#This Row],[PIC_NIP]]&lt;&gt;999999,"IN USE",IF(AND(Table12[[#This Row],[NOTE_LOC]]="WAREHOUSE",Table12[[#This Row],[PIC_NIP]]=999999),"IN STORE","IN-ACTIVE"))</f>
        <v>IN STORE</v>
      </c>
      <c r="AY17" s="51">
        <v>999999</v>
      </c>
      <c r="AZ17" s="23" t="s">
        <v>715</v>
      </c>
      <c r="BA17" s="25" t="str">
        <f>IF(COUNTBLANK(Table12[[#This Row],[ID_ASSET]:[ID_MAINTENANCE]])&gt;0,"VALIDATE [IN PROGRESS]","VALIDATE [DONE]")</f>
        <v>VALIDATE [DONE]</v>
      </c>
      <c r="BB17" s="25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NB.0180O99-ITD-NB002C63RQT2MOEQPLPT1020006LAPTOPDELLLatitude 3400i5-8265U881 of 2DDR4, SO-DIMM, 2667 Mhz256SSD M.2 SATA/TEAM TM8PS7256G0NAWindowsWindows 11 Pro24H200330-52338-50146-AAOEMTBD0,144959283775418419986088GoodGoodHDMI [Good]GoodGoodA[3/3]GoodGoodGoodGoodGoodGoodWiFI, EthernetBADCAUTIONBH &lt; 20%SERVICERepair [Battery]. Optional [Upgrade ; SSD 512 GB, RAM 16 GB]RTLPERSONAL--M01WAREHOUSE999999ME01-251012'),</v>
      </c>
      <c r="BC17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('NB.0180','O99-ITD-NB002','C63RQT2','MOEQPLPT1020006','LAPTOP','DELL','Latitude 3400','i5-8265U','8','8','1 of 2','DDR4, SO-DIMM, 2667 Mhz','256','SSD M.2 SATA/TEAM TM8PS7256G','0','NA','Windows','Windows 11 Pro','24H2','00330-52338-50146-AAOEM','TBD','0,144959283775418','41998','6088','Good','Good','HDMI [Good]','Good','Good','A[3/3]','Good','Good','Good','Good','Good','Good','WiFI, Ethernet','BAD','CAUTION','BH &lt; 20%','SERVICE','Repair [Battery]. Optional [Upgrade ; SSD 512 GB, RAM 16 GB]','RTL','PERSONAL','-','-','M01','WAREHOUSE','999999','ME01-251012'),</v>
      </c>
    </row>
    <row r="18" spans="1:55" ht="16.5" x14ac:dyDescent="0.25">
      <c r="A18" s="3" t="str">
        <f>IF(Table12[[#This Row],[VAL-1]]="VALIDATE [DONE]","✓","✗")</f>
        <v>✓</v>
      </c>
      <c r="B18" s="29" t="s">
        <v>751</v>
      </c>
      <c r="C18" s="25" t="s">
        <v>752</v>
      </c>
      <c r="D18" s="25" t="s">
        <v>753</v>
      </c>
      <c r="E18" s="25" t="s">
        <v>754</v>
      </c>
      <c r="F18" s="25" t="str">
        <f>_xlfn.IFS(LEFT(Table12[[#This Row],[ID_ASSET]],2)="DT","PC DESKTOP",LEFT(Table12[[#This Row],[ID_ASSET]],2)="NB","LAPTOP")</f>
        <v>LAPTOP</v>
      </c>
      <c r="G18" s="25" t="s">
        <v>499</v>
      </c>
      <c r="H18" s="25" t="s">
        <v>755</v>
      </c>
      <c r="I18" s="25" t="s">
        <v>756</v>
      </c>
      <c r="J18" s="51">
        <v>11</v>
      </c>
      <c r="K18" s="51">
        <v>16</v>
      </c>
      <c r="L18" s="51" t="s">
        <v>639</v>
      </c>
      <c r="M18" s="54" t="s">
        <v>730</v>
      </c>
      <c r="N18" s="51">
        <v>512</v>
      </c>
      <c r="O18" s="52" t="s">
        <v>758</v>
      </c>
      <c r="P18" s="51">
        <v>0</v>
      </c>
      <c r="Q18" s="53" t="s">
        <v>508</v>
      </c>
      <c r="R18" s="25" t="s">
        <v>509</v>
      </c>
      <c r="S18" s="25" t="s">
        <v>510</v>
      </c>
      <c r="T18" s="25" t="s">
        <v>513</v>
      </c>
      <c r="U18" s="56" t="s">
        <v>757</v>
      </c>
      <c r="V18" s="56" t="s">
        <v>644</v>
      </c>
      <c r="W18" s="59">
        <f>IFERROR(IF(Table12[[#This Row],[CATEGORY]]="PC DESKTOP","NA",(Table12[[#This Row],[FCC]]/Table12[[#This Row],[DC]])),"")</f>
        <v>0.84370015948963317</v>
      </c>
      <c r="X18" s="60">
        <v>42009</v>
      </c>
      <c r="Y18" s="60">
        <v>35443</v>
      </c>
      <c r="Z18" s="30" t="s">
        <v>531</v>
      </c>
      <c r="AA18" s="30" t="s">
        <v>531</v>
      </c>
      <c r="AB18" s="25" t="s">
        <v>533</v>
      </c>
      <c r="AC18" s="30" t="s">
        <v>531</v>
      </c>
      <c r="AD18" s="30" t="s">
        <v>531</v>
      </c>
      <c r="AE18" s="50" t="s">
        <v>653</v>
      </c>
      <c r="AF18" s="30" t="s">
        <v>531</v>
      </c>
      <c r="AG18" s="30" t="s">
        <v>531</v>
      </c>
      <c r="AH18" s="30" t="s">
        <v>531</v>
      </c>
      <c r="AI18" s="30" t="s">
        <v>531</v>
      </c>
      <c r="AJ18" s="30" t="s">
        <v>531</v>
      </c>
      <c r="AK18" s="30" t="s">
        <v>531</v>
      </c>
      <c r="AL18" s="25" t="s">
        <v>530</v>
      </c>
      <c r="AM18" s="25" t="str">
        <f>IF(OR(Table12[[#This Row],[SUB_CON]]="CAUTION",Table12[[#This Row],[SUB_CON]]="POOR"),"BAD","GOOD")</f>
        <v>GOOD</v>
      </c>
      <c r="AN18" s="25" t="s">
        <v>621</v>
      </c>
      <c r="AO18" s="25" t="s">
        <v>625</v>
      </c>
      <c r="AP18" s="25" t="str" cm="1">
        <f t="array" ref="AP18">_xlfn.IFS(
Table12[[#This Row],[SUB_CON]]="GREAT","KEEP",
Table12[[#This Row],[SUB_CON]]="NORMAL","UPGRADE",
Table12[[#This Row],[SUB_CON]]="CAUTION","SERVICE",
Table12[[#This Row],[SUB_CON]]="POOR","DISPOSE")</f>
        <v>KEEP</v>
      </c>
      <c r="AQ18" s="42" t="s">
        <v>627</v>
      </c>
      <c r="AR18" s="25" t="s">
        <v>332</v>
      </c>
      <c r="AS18" s="25" t="s">
        <v>645</v>
      </c>
      <c r="AT18" s="25" t="s">
        <v>334</v>
      </c>
      <c r="AU18" s="25" t="s">
        <v>334</v>
      </c>
      <c r="AV18" s="25" t="s">
        <v>646</v>
      </c>
      <c r="AW18" s="25" t="s">
        <v>647</v>
      </c>
      <c r="AX18" s="30" t="str">
        <f>IF(Table12[[#This Row],[PIC_NIP]]&lt;&gt;999999,"IN USE",IF(AND(Table12[[#This Row],[NOTE_LOC]]="WAREHOUSE",Table12[[#This Row],[PIC_NIP]]=999999),"IN STORE","IN-ACTIVE"))</f>
        <v>IN USE</v>
      </c>
      <c r="AY18" s="51">
        <v>100822</v>
      </c>
      <c r="AZ18" s="23" t="s">
        <v>715</v>
      </c>
      <c r="BA18" s="25" t="str">
        <f>IF(COUNTBLANK(Table12[[#This Row],[ID_ASSET]:[ID_MAINTENANCE]])&gt;0,"VALIDATE [IN PROGRESS]","VALIDATE [DONE]")</f>
        <v>VALIDATE [DONE]</v>
      </c>
      <c r="BB18" s="25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NB.0178O99-ITD-NB0031C22QN3DI8MASEQP2200010LAPTOPDELLLatitude 5420i7-1185G711162 of 2DDR4, SO-DIMM, 2400 / 2667 Mhz512SSD M.2 Nvme/SK Hynix BC7110NAWindowsWindows 11 Pro24H200330-50000-00000-AAOEMTBD0,8437001594896334200935443GoodGoodHDMI [Good]GoodGoodA[3/3]-C[1/1]GoodGoodGoodGoodGoodGoodWiFI, EthernetGOODGREATGOOD PERFORMANCEKEEPTidak adaPICPERSONAL--MOBILEUSER MOBILE100822ME01-251012'),</v>
      </c>
      <c r="BC18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('NB.0178','O99-ITD-NB003','1C22QN3','DI8MASEQP2200010','LAPTOP','DELL','Latitude 5420','i7-1185G7','11','16','2 of 2','DDR4, SO-DIMM, 2400 / 2667 Mhz','512','SSD M.2 Nvme/SK Hynix BC711','0','NA','Windows','Windows 11 Pro','24H2','00330-50000-00000-AAOEM','TBD','0,843700159489633','42009','35443','Good','Good','HDMI [Good]','Good','Good','A[3/3]-C[1/1]','Good','Good','Good','Good','Good','Good','WiFI, Ethernet','GOOD','GREAT','GOOD PERFORMANCE','KEEP','Tidak ada','PIC','PERSONAL','-','-','MOBILE','USER MOBILE','100822','ME01-251012'),</v>
      </c>
    </row>
    <row r="19" spans="1:55" ht="16.5" x14ac:dyDescent="0.25">
      <c r="A19" s="3" t="str">
        <f>IF(Table12[[#This Row],[VAL-1]]="VALIDATE [DONE]","✓","✗")</f>
        <v>✓</v>
      </c>
      <c r="B19" s="29" t="s">
        <v>764</v>
      </c>
      <c r="C19" s="25" t="s">
        <v>765</v>
      </c>
      <c r="D19" s="25" t="s">
        <v>766</v>
      </c>
      <c r="E19" s="25" t="s">
        <v>767</v>
      </c>
      <c r="F19" s="25" t="str">
        <f>_xlfn.IFS(LEFT(Table12[[#This Row],[ID_ASSET]],2)="DT","PC DESKTOP",LEFT(Table12[[#This Row],[ID_ASSET]],2)="NB","LAPTOP")</f>
        <v>LAPTOP</v>
      </c>
      <c r="G19" s="25" t="s">
        <v>499</v>
      </c>
      <c r="H19" s="25" t="s">
        <v>738</v>
      </c>
      <c r="I19" s="25" t="s">
        <v>739</v>
      </c>
      <c r="J19" s="51">
        <v>8</v>
      </c>
      <c r="K19" s="51">
        <v>8</v>
      </c>
      <c r="L19" s="51" t="s">
        <v>639</v>
      </c>
      <c r="M19" s="54" t="s">
        <v>760</v>
      </c>
      <c r="N19" s="51">
        <v>126</v>
      </c>
      <c r="O19" s="52" t="s">
        <v>772</v>
      </c>
      <c r="P19" s="51">
        <v>0</v>
      </c>
      <c r="Q19" s="53" t="s">
        <v>508</v>
      </c>
      <c r="R19" s="25" t="s">
        <v>509</v>
      </c>
      <c r="S19" s="25" t="s">
        <v>510</v>
      </c>
      <c r="T19" s="25" t="s">
        <v>771</v>
      </c>
      <c r="U19" s="56" t="s">
        <v>770</v>
      </c>
      <c r="V19" s="56" t="s">
        <v>644</v>
      </c>
      <c r="W19" s="59">
        <f>IFERROR(IF(Table12[[#This Row],[CATEGORY]]="PC DESKTOP","NA",(Table12[[#This Row],[FCC]]/Table12[[#This Row],[DC]])),"")</f>
        <v>0.72529644268774707</v>
      </c>
      <c r="X19" s="60">
        <v>41998</v>
      </c>
      <c r="Y19" s="60">
        <v>30461</v>
      </c>
      <c r="Z19" s="30" t="s">
        <v>531</v>
      </c>
      <c r="AA19" s="30" t="s">
        <v>531</v>
      </c>
      <c r="AB19" s="25" t="s">
        <v>533</v>
      </c>
      <c r="AC19" s="30" t="s">
        <v>531</v>
      </c>
      <c r="AD19" s="30" t="s">
        <v>531</v>
      </c>
      <c r="AE19" s="50" t="s">
        <v>762</v>
      </c>
      <c r="AF19" s="30" t="s">
        <v>531</v>
      </c>
      <c r="AG19" s="30" t="s">
        <v>531</v>
      </c>
      <c r="AH19" s="30" t="s">
        <v>531</v>
      </c>
      <c r="AI19" s="30" t="s">
        <v>531</v>
      </c>
      <c r="AJ19" s="30" t="s">
        <v>531</v>
      </c>
      <c r="AK19" s="30" t="s">
        <v>531</v>
      </c>
      <c r="AL19" s="25" t="s">
        <v>530</v>
      </c>
      <c r="AM19" s="25" t="str">
        <f>IF(OR(Table12[[#This Row],[SUB_CON]]="CAUTION",Table12[[#This Row],[SUB_CON]]="POOR"),"BAD","GOOD")</f>
        <v>BAD</v>
      </c>
      <c r="AN19" s="25" t="s">
        <v>622</v>
      </c>
      <c r="AO19" s="25" t="s">
        <v>768</v>
      </c>
      <c r="AP19" s="25" t="str" cm="1">
        <f t="array" ref="AP19">_xlfn.IFS(
Table12[[#This Row],[SUB_CON]]="GREAT","KEEP",
Table12[[#This Row],[SUB_CON]]="NORMAL","UPGRADE",
Table12[[#This Row],[SUB_CON]]="CAUTION","SERVICE",
Table12[[#This Row],[SUB_CON]]="POOR","DISPOSE")</f>
        <v>DISPOSE</v>
      </c>
      <c r="AQ19" s="42" t="s">
        <v>627</v>
      </c>
      <c r="AR19" s="25" t="s">
        <v>763</v>
      </c>
      <c r="AS19" s="25" t="s">
        <v>645</v>
      </c>
      <c r="AT19" s="25" t="s">
        <v>334</v>
      </c>
      <c r="AU19" s="25" t="s">
        <v>769</v>
      </c>
      <c r="AV19" s="25" t="s">
        <v>292</v>
      </c>
      <c r="AW19" s="25" t="s">
        <v>744</v>
      </c>
      <c r="AX19" s="30" t="str">
        <f>IF(Table12[[#This Row],[PIC_NIP]]&lt;&gt;999999,"IN USE",IF(AND(Table12[[#This Row],[NOTE_LOC]]="WAREHOUSE",Table12[[#This Row],[PIC_NIP]]=999999),"IN STORE","IN-ACTIVE"))</f>
        <v>IN STORE</v>
      </c>
      <c r="AY19" s="51">
        <v>999999</v>
      </c>
      <c r="AZ19" s="23" t="s">
        <v>715</v>
      </c>
      <c r="BA19" s="25" t="str">
        <f>IF(COUNTBLANK(Table12[[#This Row],[ID_ASSET]:[ID_MAINTENANCE]])&gt;0,"VALIDATE [IN PROGRESS]","VALIDATE [DONE]")</f>
        <v>VALIDATE [DONE]</v>
      </c>
      <c r="BB19" s="26" t="str">
        <f>Table12[[#This Row],[ID_ASSET]]&amp;Table12[[#This Row],[HOSTNAME]]&amp;Table12[[#This Row],[SN]]&amp;Table12[[#This Row],[BARCODE]]&amp;Table12[[#This Row],[CATEGORY]]&amp;Table12[[#This Row],[BRAND]]&amp;Table12[[#This Row],[TYPE]]&amp;Table12[[#This Row],[PROCESSORS]]&amp;Table12[[#This Row],[GEN]]&amp;Table12[[#This Row],[RAM_CAP]]&amp;Table12[[#This Row],[RAM_SLOT]]&amp;Table12[[#This Row],[RAM_TYPE]]&amp;Table12[[#This Row],[DISK1_CAP]]&amp;Table12[[#This Row],[DISK1_TYPE]]&amp;Table12[[#This Row],[DISK2_CAP]]&amp;Table12[[#This Row],[DISK2_TYPE]]&amp;Table12[[#This Row],[OS]]&amp;Table12[[#This Row],[OS_TYPE]]&amp;Table12[[#This Row],[OS_VER]]&amp;Table12[[#This Row],[PRODUCT_ID]]&amp;Table12[[#This Row],[PRODUCT_KEY]]&amp;Table12[[#This Row],[BH]]&amp;Table12[[#This Row],[DC]]&amp;Table12[[#This Row],[FCC]]&amp;Table12[[#This Row],[CASING]]&amp;Table12[[#This Row],[DISPLAY]]&amp;Table12[[#This Row],[PORT_DISPLAY]]&amp;Table12[[#This Row],[KEYBOARD]]&amp;Table12[[#This Row],[TOUCHPAD]]&amp;Table12[[#This Row],[PORT_USB]]&amp;Table12[[#This Row],[PORT_JECK]]&amp;Table12[[#This Row],[PORT_PSU]]&amp;Table12[[#This Row],[FAN]]&amp;Table12[[#This Row],[WEBCAM]]&amp;Table12[[#This Row],[MICROFON]]&amp;Table12[[#This Row],[SPEAKER]]&amp;Table12[[#This Row],[CONNECTION]]&amp;Table12[[#This Row],[CONDITIONS]]&amp;Table12[[#This Row],[SUB_CON]]&amp;Table12[[#This Row],[NOTE_CON]]&amp;Table12[[#This Row],[SOLUTION]]&amp;Table12[[#This Row],[NOTE_SOL]]&amp;Table12[[#This Row],[STATUS_FUNC]]&amp;Table12[[#This Row],[FUNCTIONS]]&amp;Table12[[#This Row],[NOTE_FUNC]]&amp;Table12[[#This Row],[HISTORY_PIC]]&amp;Table12[[#This Row],[LOCATION]]&amp;Table12[[#This Row],[NOTE_LOC]]&amp;Table12[[#This Row],[PIC_NIP]]&amp;Table12[[#This Row],[ID_MAINTENANCE]]&amp;"'),"</f>
        <v>NB.0335M02-ITD-NB0041B2RQT2MOEQPLPT1020005LAPTOPDELLLatitude 3400i5-8265U882 of 2DDR4, SO-DIMM, 2667 Mhz126SSD M.2 SATA/SK Hynix SC3110NAWindowsWindows 11 Pro23H200330-52338-74258-AAOEMTBD0,7252964426877474199830461GoodGoodHDMI [Good]GoodGoodA[3/3]GoodGoodGoodGoodGoodGoodWiFI, EthernetBADPOORMB ERROR = ShutDown OftenDISPOSETidak adaRTLPERSONAL-Ex Hardi WasistoM02WAREHOUSE999999ME01-251012'),</v>
      </c>
      <c r="BC19" s="61" t="str">
        <f>"('"&amp;Table12[[#This Row],[ID_ASSET]]&amp;"','"&amp;
Table12[[#This Row],[HOSTNAME]]&amp;"','"&amp;
Table12[[#This Row],[SN]]&amp;"','"&amp;
Table12[[#This Row],[BARCODE]]&amp;"','"&amp;
Table12[[#This Row],[CATEGORY]]&amp;"','"&amp;
Table12[[#This Row],[BRAND]]&amp;"','"&amp;
Table12[[#This Row],[TYPE]]&amp;"','"&amp;
Table12[[#This Row],[PROCESSORS]]&amp;"','"&amp;
Table12[[#This Row],[GEN]]&amp;"','"&amp;
Table12[[#This Row],[RAM_CAP]]&amp;"','"&amp;
Table12[[#This Row],[RAM_SLOT]]&amp;"','"&amp;
Table12[[#This Row],[RAM_TYPE]]&amp;"','"&amp;
Table12[[#This Row],[DISK1_CAP]]&amp;"','"&amp;
Table12[[#This Row],[DISK1_TYPE]]&amp;"','"&amp;
Table12[[#This Row],[DISK2_CAP]]&amp;"','"&amp;
Table12[[#This Row],[DISK2_TYPE]]&amp;"','"&amp;
Table12[[#This Row],[OS]]&amp;"','"&amp;
Table12[[#This Row],[OS_TYPE]]&amp;"','"&amp;
Table12[[#This Row],[OS_VER]]&amp;"','"&amp;
Table12[[#This Row],[PRODUCT_ID]]&amp;"','"&amp;
Table12[[#This Row],[PRODUCT_KEY]]&amp;"','"&amp;
Table12[[#This Row],[BH]]&amp;"','"&amp;
Table12[[#This Row],[DC]]&amp;"','"&amp;
Table12[[#This Row],[FCC]]&amp;"','"&amp;
Table12[[#This Row],[CASING]]&amp;"','"&amp;
Table12[[#This Row],[DISPLAY]]&amp;"','"&amp;
Table12[[#This Row],[PORT_DISPLAY]]&amp;"','"&amp;
Table12[[#This Row],[KEYBOARD]]&amp;"','"&amp;
Table12[[#This Row],[TOUCHPAD]]&amp;"','"&amp;
Table12[[#This Row],[PORT_USB]]&amp;"','"&amp;
Table12[[#This Row],[PORT_JECK]]&amp;"','"&amp;
Table12[[#This Row],[PORT_PSU]]&amp;"','"&amp;
Table12[[#This Row],[FAN]]&amp;"','"&amp;
Table12[[#This Row],[WEBCAM]]&amp;"','"&amp;
Table12[[#This Row],[MICROFON]]&amp;"','"&amp;
Table12[[#This Row],[SPEAKER]]&amp;"','"&amp;
Table12[[#This Row],[CONNECTION]]&amp;"','"&amp;
Table12[[#This Row],[CONDITIONS]]&amp;"','"&amp;
Table12[[#This Row],[SUB_CON]]&amp;"','"&amp;
Table12[[#This Row],[NOTE_CON]]&amp;"','"&amp;
Table12[[#This Row],[SOLUTION]]&amp;"','"&amp;
Table12[[#This Row],[NOTE_SOL]]&amp;"','"&amp;
Table12[[#This Row],[STATUS_FUNC]]&amp;"','"&amp;
Table12[[#This Row],[FUNCTIONS]]&amp;"','"&amp;
Table12[[#This Row],[NOTE_FUNC]]&amp;"','"&amp;
Table12[[#This Row],[HISTORY_PIC]]&amp;"','"&amp;
Table12[[#This Row],[LOCATION]]&amp;"','"&amp;
Table12[[#This Row],[NOTE_LOC]]&amp;"','"&amp;
Table12[[#This Row],[PIC_NIP]]&amp;"','"&amp;
Table12[[#This Row],[ID_MAINTENANCE]]&amp;"'),"</f>
        <v>('NB.0335','M02-ITD-NB004','1B2RQT2','MOEQPLPT1020005','LAPTOP','DELL','Latitude 3400','i5-8265U','8','8','2 of 2','DDR4, SO-DIMM, 2667 Mhz','126','SSD M.2 SATA/SK Hynix SC311','0','NA','Windows','Windows 11 Pro','23H2','00330-52338-74258-AAOEM','TBD','0,725296442687747','41998','30461','Good','Good','HDMI [Good]','Good','Good','A[3/3]','Good','Good','Good','Good','Good','Good','WiFI, Ethernet','BAD','POOR','MB ERROR = ShutDown Often','DISPOSE','Tidak ada','RTL','PERSONAL','-','Ex Hardi Wasisto','M02','WAREHOUSE','999999','ME01-251012'),</v>
      </c>
    </row>
  </sheetData>
  <mergeCells count="1">
    <mergeCell ref="X3:Y3"/>
  </mergeCells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932D-0D62-48BD-8D29-6D3181332C88}">
  <sheetPr>
    <tabColor rgb="FFFFFF00"/>
  </sheetPr>
  <dimension ref="B4:F54"/>
  <sheetViews>
    <sheetView topLeftCell="A19" zoomScale="85" zoomScaleNormal="85" workbookViewId="0">
      <selection activeCell="D46" sqref="D46"/>
    </sheetView>
  </sheetViews>
  <sheetFormatPr defaultRowHeight="15" x14ac:dyDescent="0.25"/>
  <cols>
    <col min="2" max="2" width="15.28515625" bestFit="1" customWidth="1"/>
    <col min="3" max="3" width="9.5703125" bestFit="1" customWidth="1"/>
    <col min="4" max="4" width="36.85546875" bestFit="1" customWidth="1"/>
    <col min="5" max="5" width="11.140625" customWidth="1"/>
    <col min="6" max="6" width="52.5703125" bestFit="1" customWidth="1"/>
  </cols>
  <sheetData>
    <row r="4" spans="2:6" x14ac:dyDescent="0.25">
      <c r="B4" t="s">
        <v>716</v>
      </c>
      <c r="C4" t="s">
        <v>338</v>
      </c>
      <c r="D4" t="s">
        <v>717</v>
      </c>
      <c r="E4" t="s">
        <v>718</v>
      </c>
      <c r="F4" t="s">
        <v>302</v>
      </c>
    </row>
    <row r="5" spans="2:6" x14ac:dyDescent="0.25">
      <c r="B5" s="35" t="s">
        <v>478</v>
      </c>
      <c r="C5" s="13" t="s">
        <v>690</v>
      </c>
      <c r="D5" s="18">
        <v>7</v>
      </c>
      <c r="E5" s="14">
        <f>IF(Table17[[#This Row],[TYPE]]="ENUM",0,Table17[[#This Row],[LENGTH]])</f>
        <v>7</v>
      </c>
      <c r="F5" s="1" t="str">
        <f>Table17[[#This Row],[OB]]&amp;" "&amp;Table17[[#This Row],[TYPE]]&amp;"("&amp;IF(Table17[[#This Row],[TYPE]]="ENUM",("'"&amp;Table17[[#This Row],[LENGTH]]),Table17[[#This Row],[LENGHT2]])&amp;"),"</f>
        <v>ID_ASSET VARCHAR(7),</v>
      </c>
    </row>
    <row r="6" spans="2:6" x14ac:dyDescent="0.25">
      <c r="B6" s="35" t="s">
        <v>479</v>
      </c>
      <c r="C6" s="13" t="s">
        <v>690</v>
      </c>
      <c r="D6" s="18">
        <v>13</v>
      </c>
      <c r="E6" s="14">
        <f>IF(Table17[[#This Row],[TYPE]]="ENUM",0,Table17[[#This Row],[LENGTH]])</f>
        <v>13</v>
      </c>
      <c r="F6" s="1" t="str">
        <f>Table17[[#This Row],[OB]]&amp;" "&amp;Table17[[#This Row],[TYPE]]&amp;"("&amp;IF(Table17[[#This Row],[TYPE]]="ENUM",("'"&amp;Table17[[#This Row],[LENGTH]]),Table17[[#This Row],[LENGHT2]])&amp;"),"</f>
        <v>HOSTNAME VARCHAR(13),</v>
      </c>
    </row>
    <row r="7" spans="2:6" x14ac:dyDescent="0.25">
      <c r="B7" s="35" t="s">
        <v>480</v>
      </c>
      <c r="C7" s="13" t="s">
        <v>690</v>
      </c>
      <c r="D7" s="18">
        <v>15</v>
      </c>
      <c r="E7" s="14">
        <f>IF(Table17[[#This Row],[TYPE]]="ENUM",0,Table17[[#This Row],[LENGTH]])</f>
        <v>15</v>
      </c>
      <c r="F7" s="1" t="str">
        <f>Table17[[#This Row],[OB]]&amp;" "&amp;Table17[[#This Row],[TYPE]]&amp;"("&amp;IF(Table17[[#This Row],[TYPE]]="ENUM",("'"&amp;Table17[[#This Row],[LENGTH]]),Table17[[#This Row],[LENGHT2]])&amp;"),"</f>
        <v>SN VARCHAR(15),</v>
      </c>
    </row>
    <row r="8" spans="2:6" x14ac:dyDescent="0.25">
      <c r="B8" s="35" t="s">
        <v>481</v>
      </c>
      <c r="C8" s="13" t="s">
        <v>690</v>
      </c>
      <c r="D8" s="18">
        <v>15</v>
      </c>
      <c r="E8" s="14">
        <f>IF(Table17[[#This Row],[TYPE]]="ENUM",0,Table17[[#This Row],[LENGTH]])</f>
        <v>15</v>
      </c>
      <c r="F8" s="1" t="str">
        <f>Table17[[#This Row],[OB]]&amp;" "&amp;Table17[[#This Row],[TYPE]]&amp;"("&amp;IF(Table17[[#This Row],[TYPE]]="ENUM",("'"&amp;Table17[[#This Row],[LENGTH]]),Table17[[#This Row],[LENGHT2]])&amp;"),"</f>
        <v>BARCODE VARCHAR(15),</v>
      </c>
    </row>
    <row r="9" spans="2:6" x14ac:dyDescent="0.25">
      <c r="B9" s="35" t="s">
        <v>493</v>
      </c>
      <c r="C9" s="13" t="s">
        <v>711</v>
      </c>
      <c r="D9" s="39" t="s">
        <v>719</v>
      </c>
      <c r="E9" s="14">
        <f>IF(Table17[[#This Row],[TYPE]]="ENUM",0,Table17[[#This Row],[LENGTH]])</f>
        <v>0</v>
      </c>
      <c r="F9" s="1" t="str">
        <f>Table17[[#This Row],[OB]]&amp;" "&amp;Table17[[#This Row],[TYPE]]&amp;"("&amp;IF(Table17[[#This Row],[TYPE]]="ENUM",("'"&amp;Table17[[#This Row],[LENGTH]]),Table17[[#This Row],[LENGHT2]])&amp;"),"</f>
        <v>CATEGORY ENUM('LAPTOP','PC DESKTOP'),</v>
      </c>
    </row>
    <row r="10" spans="2:6" x14ac:dyDescent="0.25">
      <c r="B10" s="35" t="s">
        <v>482</v>
      </c>
      <c r="C10" s="13" t="s">
        <v>690</v>
      </c>
      <c r="D10" s="18">
        <v>4</v>
      </c>
      <c r="E10" s="14">
        <f>IF(Table17[[#This Row],[TYPE]]="ENUM",0,Table17[[#This Row],[LENGTH]])</f>
        <v>4</v>
      </c>
      <c r="F10" s="1" t="str">
        <f>Table17[[#This Row],[OB]]&amp;" "&amp;Table17[[#This Row],[TYPE]]&amp;"("&amp;IF(Table17[[#This Row],[TYPE]]="ENUM",("'"&amp;Table17[[#This Row],[LENGTH]]),Table17[[#This Row],[LENGHT2]])&amp;"),"</f>
        <v>BRAND VARCHAR(4),</v>
      </c>
    </row>
    <row r="11" spans="2:6" x14ac:dyDescent="0.25">
      <c r="B11" s="35" t="s">
        <v>338</v>
      </c>
      <c r="C11" s="13" t="s">
        <v>690</v>
      </c>
      <c r="D11" s="18">
        <v>14</v>
      </c>
      <c r="E11" s="14">
        <f>IF(Table17[[#This Row],[TYPE]]="ENUM",0,Table17[[#This Row],[LENGTH]])</f>
        <v>14</v>
      </c>
      <c r="F11" s="1" t="str">
        <f>Table17[[#This Row],[OB]]&amp;" "&amp;Table17[[#This Row],[TYPE]]&amp;"("&amp;IF(Table17[[#This Row],[TYPE]]="ENUM",("'"&amp;Table17[[#This Row],[LENGTH]]),Table17[[#This Row],[LENGHT2]])&amp;"),"</f>
        <v>TYPE VARCHAR(14),</v>
      </c>
    </row>
    <row r="12" spans="2:6" x14ac:dyDescent="0.25">
      <c r="B12" s="35" t="s">
        <v>483</v>
      </c>
      <c r="C12" s="13" t="s">
        <v>690</v>
      </c>
      <c r="D12" s="18">
        <v>8</v>
      </c>
      <c r="E12" s="14">
        <f>IF(Table17[[#This Row],[TYPE]]="ENUM",0,Table17[[#This Row],[LENGTH]])</f>
        <v>8</v>
      </c>
      <c r="F12" s="1" t="str">
        <f>Table17[[#This Row],[OB]]&amp;" "&amp;Table17[[#This Row],[TYPE]]&amp;"("&amp;IF(Table17[[#This Row],[TYPE]]="ENUM",("'"&amp;Table17[[#This Row],[LENGTH]]),Table17[[#This Row],[LENGHT2]])&amp;"),"</f>
        <v>PROCESSORS VARCHAR(8),</v>
      </c>
    </row>
    <row r="13" spans="2:6" x14ac:dyDescent="0.25">
      <c r="B13" s="35" t="s">
        <v>484</v>
      </c>
      <c r="C13" s="13" t="s">
        <v>712</v>
      </c>
      <c r="D13" s="18">
        <v>2</v>
      </c>
      <c r="E13" s="14">
        <f>IF(Table17[[#This Row],[TYPE]]="ENUM",0,Table17[[#This Row],[LENGTH]])</f>
        <v>2</v>
      </c>
      <c r="F13" s="1" t="str">
        <f>Table17[[#This Row],[OB]]&amp;" "&amp;Table17[[#This Row],[TYPE]]&amp;"("&amp;IF(Table17[[#This Row],[TYPE]]="ENUM",("'"&amp;Table17[[#This Row],[LENGTH]]),Table17[[#This Row],[LENGHT2]])&amp;"),"</f>
        <v>GEN INT(2),</v>
      </c>
    </row>
    <row r="14" spans="2:6" x14ac:dyDescent="0.25">
      <c r="B14" s="35" t="s">
        <v>492</v>
      </c>
      <c r="C14" s="13" t="s">
        <v>712</v>
      </c>
      <c r="D14" s="18">
        <v>2</v>
      </c>
      <c r="E14" s="14">
        <f>IF(Table17[[#This Row],[TYPE]]="ENUM",0,Table17[[#This Row],[LENGTH]])</f>
        <v>2</v>
      </c>
      <c r="F14" s="1" t="str">
        <f>Table17[[#This Row],[OB]]&amp;" "&amp;Table17[[#This Row],[TYPE]]&amp;"("&amp;IF(Table17[[#This Row],[TYPE]]="ENUM",("'"&amp;Table17[[#This Row],[LENGTH]]),Table17[[#This Row],[LENGHT2]])&amp;"),"</f>
        <v>RAM_CAP INT(2),</v>
      </c>
    </row>
    <row r="15" spans="2:6" x14ac:dyDescent="0.25">
      <c r="B15" s="35" t="s">
        <v>491</v>
      </c>
      <c r="C15" s="13" t="s">
        <v>690</v>
      </c>
      <c r="D15" s="18">
        <v>6</v>
      </c>
      <c r="E15" s="14">
        <f>IF(Table17[[#This Row],[TYPE]]="ENUM",0,Table17[[#This Row],[LENGTH]])</f>
        <v>6</v>
      </c>
      <c r="F15" s="1" t="str">
        <f>Table17[[#This Row],[OB]]&amp;" "&amp;Table17[[#This Row],[TYPE]]&amp;"("&amp;IF(Table17[[#This Row],[TYPE]]="ENUM",("'"&amp;Table17[[#This Row],[LENGTH]]),Table17[[#This Row],[LENGHT2]])&amp;"),"</f>
        <v>RAM_SLOT VARCHAR(6),</v>
      </c>
    </row>
    <row r="16" spans="2:6" x14ac:dyDescent="0.25">
      <c r="B16" s="35" t="s">
        <v>490</v>
      </c>
      <c r="C16" s="13" t="s">
        <v>690</v>
      </c>
      <c r="D16" s="18">
        <v>50</v>
      </c>
      <c r="E16" s="14">
        <f>IF(Table17[[#This Row],[TYPE]]="ENUM",0,Table17[[#This Row],[LENGTH]])</f>
        <v>50</v>
      </c>
      <c r="F16" s="1" t="str">
        <f>Table17[[#This Row],[OB]]&amp;" "&amp;Table17[[#This Row],[TYPE]]&amp;"("&amp;IF(Table17[[#This Row],[TYPE]]="ENUM",("'"&amp;Table17[[#This Row],[LENGTH]]),Table17[[#This Row],[LENGHT2]])&amp;"),"</f>
        <v>RAM_TYPE VARCHAR(50),</v>
      </c>
    </row>
    <row r="17" spans="2:6" x14ac:dyDescent="0.25">
      <c r="B17" s="35" t="s">
        <v>489</v>
      </c>
      <c r="C17" s="13" t="s">
        <v>712</v>
      </c>
      <c r="D17" s="18">
        <v>4</v>
      </c>
      <c r="E17" s="14">
        <f>IF(Table17[[#This Row],[TYPE]]="ENUM",0,Table17[[#This Row],[LENGTH]])</f>
        <v>4</v>
      </c>
      <c r="F17" s="1" t="str">
        <f>Table17[[#This Row],[OB]]&amp;" "&amp;Table17[[#This Row],[TYPE]]&amp;"("&amp;IF(Table17[[#This Row],[TYPE]]="ENUM",("'"&amp;Table17[[#This Row],[LENGTH]]),Table17[[#This Row],[LENGHT2]])&amp;"),"</f>
        <v>DISK1_CAP INT(4),</v>
      </c>
    </row>
    <row r="18" spans="2:6" x14ac:dyDescent="0.25">
      <c r="B18" s="35" t="s">
        <v>488</v>
      </c>
      <c r="C18" s="13" t="s">
        <v>690</v>
      </c>
      <c r="D18" s="18">
        <v>50</v>
      </c>
      <c r="E18" s="14">
        <f>IF(Table17[[#This Row],[TYPE]]="ENUM",0,Table17[[#This Row],[LENGTH]])</f>
        <v>50</v>
      </c>
      <c r="F18" s="1" t="str">
        <f>Table17[[#This Row],[OB]]&amp;" "&amp;Table17[[#This Row],[TYPE]]&amp;"("&amp;IF(Table17[[#This Row],[TYPE]]="ENUM",("'"&amp;Table17[[#This Row],[LENGTH]]),Table17[[#This Row],[LENGHT2]])&amp;"),"</f>
        <v>DISK1_TYPE VARCHAR(50),</v>
      </c>
    </row>
    <row r="19" spans="2:6" x14ac:dyDescent="0.25">
      <c r="B19" s="35" t="s">
        <v>487</v>
      </c>
      <c r="C19" s="13" t="s">
        <v>712</v>
      </c>
      <c r="D19" s="18">
        <v>4</v>
      </c>
      <c r="E19" s="14">
        <f>IF(Table17[[#This Row],[TYPE]]="ENUM",0,Table17[[#This Row],[LENGTH]])</f>
        <v>4</v>
      </c>
      <c r="F19" s="1" t="str">
        <f>Table17[[#This Row],[OB]]&amp;" "&amp;Table17[[#This Row],[TYPE]]&amp;"("&amp;IF(Table17[[#This Row],[TYPE]]="ENUM",("'"&amp;Table17[[#This Row],[LENGTH]]),Table17[[#This Row],[LENGHT2]])&amp;"),"</f>
        <v>DISK2_CAP INT(4),</v>
      </c>
    </row>
    <row r="20" spans="2:6" x14ac:dyDescent="0.25">
      <c r="B20" s="35" t="s">
        <v>486</v>
      </c>
      <c r="C20" s="13" t="s">
        <v>690</v>
      </c>
      <c r="D20" s="18">
        <v>50</v>
      </c>
      <c r="E20" s="14">
        <f>IF(Table17[[#This Row],[TYPE]]="ENUM",0,Table17[[#This Row],[LENGTH]])</f>
        <v>50</v>
      </c>
      <c r="F20" s="1" t="str">
        <f>Table17[[#This Row],[OB]]&amp;" "&amp;Table17[[#This Row],[TYPE]]&amp;"("&amp;IF(Table17[[#This Row],[TYPE]]="ENUM",("'"&amp;Table17[[#This Row],[LENGTH]]),Table17[[#This Row],[LENGHT2]])&amp;"),"</f>
        <v>DISK2_TYPE VARCHAR(50),</v>
      </c>
    </row>
    <row r="21" spans="2:6" x14ac:dyDescent="0.25">
      <c r="B21" s="35" t="s">
        <v>506</v>
      </c>
      <c r="C21" s="13" t="s">
        <v>690</v>
      </c>
      <c r="D21" s="18">
        <v>25</v>
      </c>
      <c r="E21" s="14">
        <f>IF(Table17[[#This Row],[TYPE]]="ENUM",0,Table17[[#This Row],[LENGTH]])</f>
        <v>25</v>
      </c>
      <c r="F21" s="1" t="str">
        <f>Table17[[#This Row],[OB]]&amp;" "&amp;Table17[[#This Row],[TYPE]]&amp;"("&amp;IF(Table17[[#This Row],[TYPE]]="ENUM",("'"&amp;Table17[[#This Row],[LENGTH]]),Table17[[#This Row],[LENGHT2]])&amp;"),"</f>
        <v>OS VARCHAR(25),</v>
      </c>
    </row>
    <row r="22" spans="2:6" x14ac:dyDescent="0.25">
      <c r="B22" s="35" t="s">
        <v>485</v>
      </c>
      <c r="C22" s="13" t="s">
        <v>690</v>
      </c>
      <c r="D22" s="18">
        <v>25</v>
      </c>
      <c r="E22" s="14">
        <f>IF(Table17[[#This Row],[TYPE]]="ENUM",0,Table17[[#This Row],[LENGTH]])</f>
        <v>25</v>
      </c>
      <c r="F22" s="1" t="str">
        <f>Table17[[#This Row],[OB]]&amp;" "&amp;Table17[[#This Row],[TYPE]]&amp;"("&amp;IF(Table17[[#This Row],[TYPE]]="ENUM",("'"&amp;Table17[[#This Row],[LENGTH]]),Table17[[#This Row],[LENGHT2]])&amp;"),"</f>
        <v>OS_TYPE VARCHAR(25),</v>
      </c>
    </row>
    <row r="23" spans="2:6" x14ac:dyDescent="0.25">
      <c r="B23" s="35" t="s">
        <v>512</v>
      </c>
      <c r="C23" s="13" t="s">
        <v>690</v>
      </c>
      <c r="D23" s="18">
        <v>25</v>
      </c>
      <c r="E23" s="14">
        <f>IF(Table17[[#This Row],[TYPE]]="ENUM",0,Table17[[#This Row],[LENGTH]])</f>
        <v>25</v>
      </c>
      <c r="F23" s="1" t="str">
        <f>Table17[[#This Row],[OB]]&amp;" "&amp;Table17[[#This Row],[TYPE]]&amp;"("&amp;IF(Table17[[#This Row],[TYPE]]="ENUM",("'"&amp;Table17[[#This Row],[LENGTH]]),Table17[[#This Row],[LENGHT2]])&amp;"),"</f>
        <v>OS_VER VARCHAR(25),</v>
      </c>
    </row>
    <row r="24" spans="2:6" x14ac:dyDescent="0.25">
      <c r="B24" s="35" t="s">
        <v>504</v>
      </c>
      <c r="C24" s="13" t="s">
        <v>690</v>
      </c>
      <c r="D24" s="18">
        <v>25</v>
      </c>
      <c r="E24" s="14">
        <f>IF(Table17[[#This Row],[TYPE]]="ENUM",0,Table17[[#This Row],[LENGTH]])</f>
        <v>25</v>
      </c>
      <c r="F24" s="1" t="str">
        <f>Table17[[#This Row],[OB]]&amp;" "&amp;Table17[[#This Row],[TYPE]]&amp;"("&amp;IF(Table17[[#This Row],[TYPE]]="ENUM",("'"&amp;Table17[[#This Row],[LENGTH]]),Table17[[#This Row],[LENGHT2]])&amp;"),"</f>
        <v>PRODUCT_ID VARCHAR(25),</v>
      </c>
    </row>
    <row r="25" spans="2:6" x14ac:dyDescent="0.25">
      <c r="B25" s="35" t="s">
        <v>505</v>
      </c>
      <c r="C25" s="13" t="s">
        <v>690</v>
      </c>
      <c r="D25" s="18">
        <v>30</v>
      </c>
      <c r="E25" s="14">
        <f>IF(Table17[[#This Row],[TYPE]]="ENUM",0,Table17[[#This Row],[LENGTH]])</f>
        <v>30</v>
      </c>
      <c r="F25" s="1" t="str">
        <f>Table17[[#This Row],[OB]]&amp;" "&amp;Table17[[#This Row],[TYPE]]&amp;"("&amp;IF(Table17[[#This Row],[TYPE]]="ENUM",("'"&amp;Table17[[#This Row],[LENGTH]]),Table17[[#This Row],[LENGHT2]])&amp;"),"</f>
        <v>PRODUCT_KEY VARCHAR(30),</v>
      </c>
    </row>
    <row r="26" spans="2:6" x14ac:dyDescent="0.25">
      <c r="B26" s="35" t="s">
        <v>517</v>
      </c>
      <c r="C26" s="13" t="s">
        <v>713</v>
      </c>
      <c r="D26" s="18" t="s">
        <v>714</v>
      </c>
      <c r="E26" s="14" t="str">
        <f>IF(Table17[[#This Row],[TYPE]]="ENUM",0,Table17[[#This Row],[LENGTH]])</f>
        <v>5, 2</v>
      </c>
      <c r="F26" s="1" t="str">
        <f>Table17[[#This Row],[OB]]&amp;" "&amp;Table17[[#This Row],[TYPE]]&amp;"("&amp;IF(Table17[[#This Row],[TYPE]]="ENUM",("'"&amp;Table17[[#This Row],[LENGTH]]),Table17[[#This Row],[LENGHT2]])&amp;"),"</f>
        <v>BH DECIMAL(5, 2),</v>
      </c>
    </row>
    <row r="27" spans="2:6" x14ac:dyDescent="0.25">
      <c r="B27" s="35" t="s">
        <v>514</v>
      </c>
      <c r="C27" s="13" t="s">
        <v>712</v>
      </c>
      <c r="D27" s="18">
        <v>5</v>
      </c>
      <c r="E27" s="14">
        <f>IF(Table17[[#This Row],[TYPE]]="ENUM",0,Table17[[#This Row],[LENGTH]])</f>
        <v>5</v>
      </c>
      <c r="F27" s="1" t="str">
        <f>Table17[[#This Row],[OB]]&amp;" "&amp;Table17[[#This Row],[TYPE]]&amp;"("&amp;IF(Table17[[#This Row],[TYPE]]="ENUM",("'"&amp;Table17[[#This Row],[LENGTH]]),Table17[[#This Row],[LENGHT2]])&amp;"),"</f>
        <v>DC INT(5),</v>
      </c>
    </row>
    <row r="28" spans="2:6" x14ac:dyDescent="0.25">
      <c r="B28" s="35" t="s">
        <v>515</v>
      </c>
      <c r="C28" s="13" t="s">
        <v>712</v>
      </c>
      <c r="D28" s="18">
        <v>5</v>
      </c>
      <c r="E28" s="14">
        <f>IF(Table17[[#This Row],[TYPE]]="ENUM",0,Table17[[#This Row],[LENGTH]])</f>
        <v>5</v>
      </c>
      <c r="F28" s="1" t="str">
        <f>Table17[[#This Row],[OB]]&amp;" "&amp;Table17[[#This Row],[TYPE]]&amp;"("&amp;IF(Table17[[#This Row],[TYPE]]="ENUM",("'"&amp;Table17[[#This Row],[LENGTH]]),Table17[[#This Row],[LENGHT2]])&amp;"),"</f>
        <v>FCC INT(5),</v>
      </c>
    </row>
    <row r="29" spans="2:6" x14ac:dyDescent="0.25">
      <c r="B29" s="35" t="s">
        <v>518</v>
      </c>
      <c r="C29" s="13" t="s">
        <v>711</v>
      </c>
      <c r="D29" s="18" t="s">
        <v>720</v>
      </c>
      <c r="E29" s="14">
        <f>IF(Table17[[#This Row],[TYPE]]="ENUM",0,Table17[[#This Row],[LENGTH]])</f>
        <v>0</v>
      </c>
      <c r="F29" s="1" t="str">
        <f>Table17[[#This Row],[OB]]&amp;" "&amp;Table17[[#This Row],[TYPE]]&amp;"("&amp;IF(Table17[[#This Row],[TYPE]]="ENUM",("'"&amp;Table17[[#This Row],[LENGTH]]),Table17[[#This Row],[LENGHT2]])&amp;"),"</f>
        <v>CASING ENUM('GOOD','BAD'),</v>
      </c>
    </row>
    <row r="30" spans="2:6" x14ac:dyDescent="0.25">
      <c r="B30" s="35" t="s">
        <v>519</v>
      </c>
      <c r="C30" s="13" t="s">
        <v>711</v>
      </c>
      <c r="D30" s="18" t="s">
        <v>720</v>
      </c>
      <c r="E30" s="14">
        <f>IF(Table17[[#This Row],[TYPE]]="ENUM",0,Table17[[#This Row],[LENGTH]])</f>
        <v>0</v>
      </c>
      <c r="F30" s="1" t="str">
        <f>Table17[[#This Row],[OB]]&amp;" "&amp;Table17[[#This Row],[TYPE]]&amp;"("&amp;IF(Table17[[#This Row],[TYPE]]="ENUM",("'"&amp;Table17[[#This Row],[LENGTH]]),Table17[[#This Row],[LENGHT2]])&amp;"),"</f>
        <v>DISPLAY ENUM('GOOD','BAD'),</v>
      </c>
    </row>
    <row r="31" spans="2:6" x14ac:dyDescent="0.25">
      <c r="B31" s="35" t="s">
        <v>532</v>
      </c>
      <c r="C31" s="13" t="s">
        <v>690</v>
      </c>
      <c r="D31" s="18">
        <v>25</v>
      </c>
      <c r="E31" s="14">
        <f>IF(Table17[[#This Row],[TYPE]]="ENUM",0,Table17[[#This Row],[LENGTH]])</f>
        <v>25</v>
      </c>
      <c r="F31" s="1" t="str">
        <f>Table17[[#This Row],[OB]]&amp;" "&amp;Table17[[#This Row],[TYPE]]&amp;"("&amp;IF(Table17[[#This Row],[TYPE]]="ENUM",("'"&amp;Table17[[#This Row],[LENGTH]]),Table17[[#This Row],[LENGHT2]])&amp;"),"</f>
        <v>PORT_DISPLAY VARCHAR(25),</v>
      </c>
    </row>
    <row r="32" spans="2:6" x14ac:dyDescent="0.25">
      <c r="B32" s="35" t="s">
        <v>520</v>
      </c>
      <c r="C32" s="13" t="s">
        <v>711</v>
      </c>
      <c r="D32" s="18" t="s">
        <v>720</v>
      </c>
      <c r="E32" s="14">
        <f>IF(Table17[[#This Row],[TYPE]]="ENUM",0,Table17[[#This Row],[LENGTH]])</f>
        <v>0</v>
      </c>
      <c r="F32" s="1" t="str">
        <f>Table17[[#This Row],[OB]]&amp;" "&amp;Table17[[#This Row],[TYPE]]&amp;"("&amp;IF(Table17[[#This Row],[TYPE]]="ENUM",("'"&amp;Table17[[#This Row],[LENGTH]]),Table17[[#This Row],[LENGHT2]])&amp;"),"</f>
        <v>KEYBOARD ENUM('GOOD','BAD'),</v>
      </c>
    </row>
    <row r="33" spans="2:6" x14ac:dyDescent="0.25">
      <c r="B33" s="35" t="s">
        <v>521</v>
      </c>
      <c r="C33" s="13" t="s">
        <v>711</v>
      </c>
      <c r="D33" s="18" t="s">
        <v>720</v>
      </c>
      <c r="E33" s="14">
        <f>IF(Table17[[#This Row],[TYPE]]="ENUM",0,Table17[[#This Row],[LENGTH]])</f>
        <v>0</v>
      </c>
      <c r="F33" s="1" t="str">
        <f>Table17[[#This Row],[OB]]&amp;" "&amp;Table17[[#This Row],[TYPE]]&amp;"("&amp;IF(Table17[[#This Row],[TYPE]]="ENUM",("'"&amp;Table17[[#This Row],[LENGTH]]),Table17[[#This Row],[LENGHT2]])&amp;"),"</f>
        <v>TOUCHPAD ENUM('GOOD','BAD'),</v>
      </c>
    </row>
    <row r="34" spans="2:6" x14ac:dyDescent="0.25">
      <c r="B34" s="35" t="s">
        <v>522</v>
      </c>
      <c r="C34" s="13" t="s">
        <v>690</v>
      </c>
      <c r="D34" s="18">
        <v>25</v>
      </c>
      <c r="E34" s="14">
        <f>IF(Table17[[#This Row],[TYPE]]="ENUM",0,Table17[[#This Row],[LENGTH]])</f>
        <v>25</v>
      </c>
      <c r="F34" s="1" t="str">
        <f>Table17[[#This Row],[OB]]&amp;" "&amp;Table17[[#This Row],[TYPE]]&amp;"("&amp;IF(Table17[[#This Row],[TYPE]]="ENUM",("'"&amp;Table17[[#This Row],[LENGTH]]),Table17[[#This Row],[LENGHT2]])&amp;"),"</f>
        <v>PORT_USB VARCHAR(25),</v>
      </c>
    </row>
    <row r="35" spans="2:6" x14ac:dyDescent="0.25">
      <c r="B35" s="35" t="s">
        <v>523</v>
      </c>
      <c r="C35" s="13" t="s">
        <v>711</v>
      </c>
      <c r="D35" s="18" t="s">
        <v>720</v>
      </c>
      <c r="E35" s="14">
        <f>IF(Table17[[#This Row],[TYPE]]="ENUM",0,Table17[[#This Row],[LENGTH]])</f>
        <v>0</v>
      </c>
      <c r="F35" s="1" t="str">
        <f>Table17[[#This Row],[OB]]&amp;" "&amp;Table17[[#This Row],[TYPE]]&amp;"("&amp;IF(Table17[[#This Row],[TYPE]]="ENUM",("'"&amp;Table17[[#This Row],[LENGTH]]),Table17[[#This Row],[LENGHT2]])&amp;"),"</f>
        <v>PORT_JECK ENUM('GOOD','BAD'),</v>
      </c>
    </row>
    <row r="36" spans="2:6" x14ac:dyDescent="0.25">
      <c r="B36" s="35" t="s">
        <v>524</v>
      </c>
      <c r="C36" s="13" t="s">
        <v>711</v>
      </c>
      <c r="D36" s="18" t="s">
        <v>720</v>
      </c>
      <c r="E36" s="14">
        <f>IF(Table17[[#This Row],[TYPE]]="ENUM",0,Table17[[#This Row],[LENGTH]])</f>
        <v>0</v>
      </c>
      <c r="F36" s="1" t="str">
        <f>Table17[[#This Row],[OB]]&amp;" "&amp;Table17[[#This Row],[TYPE]]&amp;"("&amp;IF(Table17[[#This Row],[TYPE]]="ENUM",("'"&amp;Table17[[#This Row],[LENGTH]]),Table17[[#This Row],[LENGHT2]])&amp;"),"</f>
        <v>PORT_PSU ENUM('GOOD','BAD'),</v>
      </c>
    </row>
    <row r="37" spans="2:6" x14ac:dyDescent="0.25">
      <c r="B37" s="35" t="s">
        <v>525</v>
      </c>
      <c r="C37" s="13" t="s">
        <v>711</v>
      </c>
      <c r="D37" s="18" t="s">
        <v>720</v>
      </c>
      <c r="E37" s="14">
        <f>IF(Table17[[#This Row],[TYPE]]="ENUM",0,Table17[[#This Row],[LENGTH]])</f>
        <v>0</v>
      </c>
      <c r="F37" s="1" t="str">
        <f>Table17[[#This Row],[OB]]&amp;" "&amp;Table17[[#This Row],[TYPE]]&amp;"("&amp;IF(Table17[[#This Row],[TYPE]]="ENUM",("'"&amp;Table17[[#This Row],[LENGTH]]),Table17[[#This Row],[LENGHT2]])&amp;"),"</f>
        <v>FAN ENUM('GOOD','BAD'),</v>
      </c>
    </row>
    <row r="38" spans="2:6" x14ac:dyDescent="0.25">
      <c r="B38" s="35" t="s">
        <v>526</v>
      </c>
      <c r="C38" s="13" t="s">
        <v>711</v>
      </c>
      <c r="D38" s="18" t="s">
        <v>720</v>
      </c>
      <c r="E38" s="14">
        <f>IF(Table17[[#This Row],[TYPE]]="ENUM",0,Table17[[#This Row],[LENGTH]])</f>
        <v>0</v>
      </c>
      <c r="F38" s="1" t="str">
        <f>Table17[[#This Row],[OB]]&amp;" "&amp;Table17[[#This Row],[TYPE]]&amp;"("&amp;IF(Table17[[#This Row],[TYPE]]="ENUM",("'"&amp;Table17[[#This Row],[LENGTH]]),Table17[[#This Row],[LENGHT2]])&amp;"),"</f>
        <v>WEBCAM ENUM('GOOD','BAD'),</v>
      </c>
    </row>
    <row r="39" spans="2:6" x14ac:dyDescent="0.25">
      <c r="B39" s="35" t="s">
        <v>527</v>
      </c>
      <c r="C39" s="13" t="s">
        <v>711</v>
      </c>
      <c r="D39" s="18" t="s">
        <v>720</v>
      </c>
      <c r="E39" s="14">
        <f>IF(Table17[[#This Row],[TYPE]]="ENUM",0,Table17[[#This Row],[LENGTH]])</f>
        <v>0</v>
      </c>
      <c r="F39" s="1" t="str">
        <f>Table17[[#This Row],[OB]]&amp;" "&amp;Table17[[#This Row],[TYPE]]&amp;"("&amp;IF(Table17[[#This Row],[TYPE]]="ENUM",("'"&amp;Table17[[#This Row],[LENGTH]]),Table17[[#This Row],[LENGHT2]])&amp;"),"</f>
        <v>MICROFON ENUM('GOOD','BAD'),</v>
      </c>
    </row>
    <row r="40" spans="2:6" x14ac:dyDescent="0.25">
      <c r="B40" s="35" t="s">
        <v>528</v>
      </c>
      <c r="C40" s="13" t="s">
        <v>711</v>
      </c>
      <c r="D40" s="18" t="s">
        <v>720</v>
      </c>
      <c r="E40" s="14">
        <f>IF(Table17[[#This Row],[TYPE]]="ENUM",0,Table17[[#This Row],[LENGTH]])</f>
        <v>0</v>
      </c>
      <c r="F40" s="1" t="str">
        <f>Table17[[#This Row],[OB]]&amp;" "&amp;Table17[[#This Row],[TYPE]]&amp;"("&amp;IF(Table17[[#This Row],[TYPE]]="ENUM",("'"&amp;Table17[[#This Row],[LENGTH]]),Table17[[#This Row],[LENGHT2]])&amp;"),"</f>
        <v>SPEAKER ENUM('GOOD','BAD'),</v>
      </c>
    </row>
    <row r="41" spans="2:6" x14ac:dyDescent="0.25">
      <c r="B41" s="35" t="s">
        <v>725</v>
      </c>
      <c r="C41" s="13" t="s">
        <v>690</v>
      </c>
      <c r="D41" s="18">
        <v>25</v>
      </c>
      <c r="E41" s="14">
        <f>IF(Table17[[#This Row],[TYPE]]="ENUM",0,Table17[[#This Row],[LENGTH]])</f>
        <v>25</v>
      </c>
      <c r="F41" s="1" t="str">
        <f>Table17[[#This Row],[OB]]&amp;" "&amp;Table17[[#This Row],[TYPE]]&amp;"("&amp;IF(Table17[[#This Row],[TYPE]]="ENUM",("'"&amp;Table17[[#This Row],[LENGTH]]),Table17[[#This Row],[LENGHT2]])&amp;"),"</f>
        <v>CONNECTIONS VARCHAR(25),</v>
      </c>
    </row>
    <row r="42" spans="2:6" x14ac:dyDescent="0.25">
      <c r="B42" s="35" t="s">
        <v>534</v>
      </c>
      <c r="C42" s="13" t="s">
        <v>711</v>
      </c>
      <c r="D42" s="18" t="s">
        <v>720</v>
      </c>
      <c r="E42" s="14">
        <f>IF(Table17[[#This Row],[TYPE]]="ENUM",0,Table17[[#This Row],[LENGTH]])</f>
        <v>0</v>
      </c>
      <c r="F42" s="1" t="str">
        <f>Table17[[#This Row],[OB]]&amp;" "&amp;Table17[[#This Row],[TYPE]]&amp;"("&amp;IF(Table17[[#This Row],[TYPE]]="ENUM",("'"&amp;Table17[[#This Row],[LENGTH]]),Table17[[#This Row],[LENGHT2]])&amp;"),"</f>
        <v>CONDITION ENUM('GOOD','BAD'),</v>
      </c>
    </row>
    <row r="43" spans="2:6" x14ac:dyDescent="0.25">
      <c r="B43" s="35" t="s">
        <v>535</v>
      </c>
      <c r="C43" s="13" t="s">
        <v>711</v>
      </c>
      <c r="D43" s="18" t="s">
        <v>721</v>
      </c>
      <c r="E43" s="14">
        <f>IF(Table17[[#This Row],[TYPE]]="ENUM",0,Table17[[#This Row],[LENGTH]])</f>
        <v>0</v>
      </c>
      <c r="F43" s="1" t="str">
        <f>Table17[[#This Row],[OB]]&amp;" "&amp;Table17[[#This Row],[TYPE]]&amp;"("&amp;IF(Table17[[#This Row],[TYPE]]="ENUM",("'"&amp;Table17[[#This Row],[LENGTH]]),Table17[[#This Row],[LENGHT2]])&amp;"),"</f>
        <v>SUB_CON ENUM('GREAT','NORMAL','CAUTION','POOR'),</v>
      </c>
    </row>
    <row r="44" spans="2:6" x14ac:dyDescent="0.25">
      <c r="B44" s="35" t="s">
        <v>536</v>
      </c>
      <c r="C44" s="13" t="s">
        <v>690</v>
      </c>
      <c r="D44" s="18">
        <v>200</v>
      </c>
      <c r="E44" s="14">
        <f>IF(Table17[[#This Row],[TYPE]]="ENUM",0,Table17[[#This Row],[LENGTH]])</f>
        <v>200</v>
      </c>
      <c r="F44" s="1" t="str">
        <f>Table17[[#This Row],[OB]]&amp;" "&amp;Table17[[#This Row],[TYPE]]&amp;"("&amp;IF(Table17[[#This Row],[TYPE]]="ENUM",("'"&amp;Table17[[#This Row],[LENGTH]]),Table17[[#This Row],[LENGHT2]])&amp;"),"</f>
        <v>NOTE_CON VARCHAR(200),</v>
      </c>
    </row>
    <row r="45" spans="2:6" x14ac:dyDescent="0.25">
      <c r="B45" s="35" t="s">
        <v>537</v>
      </c>
      <c r="C45" s="13" t="s">
        <v>711</v>
      </c>
      <c r="D45" s="18" t="s">
        <v>722</v>
      </c>
      <c r="E45" s="14">
        <f>IF(Table17[[#This Row],[TYPE]]="ENUM",0,Table17[[#This Row],[LENGTH]])</f>
        <v>0</v>
      </c>
      <c r="F45" s="1" t="str">
        <f>Table17[[#This Row],[OB]]&amp;" "&amp;Table17[[#This Row],[TYPE]]&amp;"("&amp;IF(Table17[[#This Row],[TYPE]]="ENUM",("'"&amp;Table17[[#This Row],[LENGTH]]),Table17[[#This Row],[LENGHT2]])&amp;"),"</f>
        <v>SOLUTION ENUM('KEEP','UPGRADE','SERVICE','DISPOSE'),</v>
      </c>
    </row>
    <row r="46" spans="2:6" x14ac:dyDescent="0.25">
      <c r="B46" s="35" t="s">
        <v>538</v>
      </c>
      <c r="C46" s="13" t="s">
        <v>690</v>
      </c>
      <c r="D46" s="18">
        <v>200</v>
      </c>
      <c r="E46" s="14">
        <f>IF(Table17[[#This Row],[TYPE]]="ENUM",0,Table17[[#This Row],[LENGTH]])</f>
        <v>200</v>
      </c>
      <c r="F46" s="1" t="str">
        <f>Table17[[#This Row],[OB]]&amp;" "&amp;Table17[[#This Row],[TYPE]]&amp;"("&amp;IF(Table17[[#This Row],[TYPE]]="ENUM",("'"&amp;Table17[[#This Row],[LENGTH]]),Table17[[#This Row],[LENGHT2]])&amp;"),"</f>
        <v>NOTE_SOL VARCHAR(200),</v>
      </c>
    </row>
    <row r="47" spans="2:6" x14ac:dyDescent="0.25">
      <c r="B47" s="35" t="s">
        <v>543</v>
      </c>
      <c r="C47" s="13" t="s">
        <v>711</v>
      </c>
      <c r="D47" s="18" t="s">
        <v>724</v>
      </c>
      <c r="E47" s="14">
        <f>IF(Table17[[#This Row],[TYPE]]="ENUM",0,Table17[[#This Row],[LENGTH]])</f>
        <v>0</v>
      </c>
      <c r="F47" s="1" t="str">
        <f>Table17[[#This Row],[OB]]&amp;" "&amp;Table17[[#This Row],[TYPE]]&amp;"("&amp;IF(Table17[[#This Row],[TYPE]]="ENUM",("'"&amp;Table17[[#This Row],[LENGTH]]),Table17[[#This Row],[LENGHT2]])&amp;"),"</f>
        <v>STATUS_FUNC ENUM('PIC','LOAN'),</v>
      </c>
    </row>
    <row r="48" spans="2:6" x14ac:dyDescent="0.25">
      <c r="B48" s="35" t="s">
        <v>726</v>
      </c>
      <c r="C48" s="13" t="s">
        <v>711</v>
      </c>
      <c r="D48" s="18" t="s">
        <v>723</v>
      </c>
      <c r="E48" s="14">
        <f>IF(Table17[[#This Row],[TYPE]]="ENUM",0,Table17[[#This Row],[LENGTH]])</f>
        <v>0</v>
      </c>
      <c r="F48" s="1" t="str">
        <f>Table17[[#This Row],[OB]]&amp;" "&amp;Table17[[#This Row],[TYPE]]&amp;"("&amp;IF(Table17[[#This Row],[TYPE]]="ENUM",("'"&amp;Table17[[#This Row],[LENGTH]]),Table17[[#This Row],[LENGHT2]])&amp;"),"</f>
        <v>FUNCTIONS ENUM('PERSONAL','OPERATIONAL','SYSTEM','TESTING'),</v>
      </c>
    </row>
    <row r="49" spans="2:6" x14ac:dyDescent="0.25">
      <c r="B49" s="35" t="s">
        <v>539</v>
      </c>
      <c r="C49" s="13" t="s">
        <v>690</v>
      </c>
      <c r="D49" s="18">
        <v>200</v>
      </c>
      <c r="E49" s="14">
        <f>IF(Table17[[#This Row],[TYPE]]="ENUM",0,Table17[[#This Row],[LENGTH]])</f>
        <v>200</v>
      </c>
      <c r="F49" s="1" t="str">
        <f>Table17[[#This Row],[OB]]&amp;" "&amp;Table17[[#This Row],[TYPE]]&amp;"("&amp;IF(Table17[[#This Row],[TYPE]]="ENUM",("'"&amp;Table17[[#This Row],[LENGTH]]),Table17[[#This Row],[LENGHT2]])&amp;"),"</f>
        <v>NOTE_FUNC VARCHAR(200),</v>
      </c>
    </row>
    <row r="50" spans="2:6" x14ac:dyDescent="0.25">
      <c r="B50" s="35" t="s">
        <v>540</v>
      </c>
      <c r="C50" s="13" t="s">
        <v>690</v>
      </c>
      <c r="D50" s="18">
        <v>200</v>
      </c>
      <c r="E50" s="14">
        <f>IF(Table17[[#This Row],[TYPE]]="ENUM",0,Table17[[#This Row],[LENGTH]])</f>
        <v>200</v>
      </c>
      <c r="F50" s="1" t="str">
        <f>Table17[[#This Row],[OB]]&amp;" "&amp;Table17[[#This Row],[TYPE]]&amp;"("&amp;IF(Table17[[#This Row],[TYPE]]="ENUM",("'"&amp;Table17[[#This Row],[LENGTH]]),Table17[[#This Row],[LENGHT2]])&amp;"),"</f>
        <v>HISTORY_PIC VARCHAR(200),</v>
      </c>
    </row>
    <row r="51" spans="2:6" x14ac:dyDescent="0.25">
      <c r="B51" s="35" t="s">
        <v>541</v>
      </c>
      <c r="C51" s="13" t="s">
        <v>690</v>
      </c>
      <c r="D51" s="18">
        <v>6</v>
      </c>
      <c r="E51" s="14">
        <f>IF(Table17[[#This Row],[TYPE]]="ENUM",0,Table17[[#This Row],[LENGTH]])</f>
        <v>6</v>
      </c>
      <c r="F51" s="1" t="str">
        <f>Table17[[#This Row],[OB]]&amp;" "&amp;Table17[[#This Row],[TYPE]]&amp;"("&amp;IF(Table17[[#This Row],[TYPE]]="ENUM",("'"&amp;Table17[[#This Row],[LENGTH]]),Table17[[#This Row],[LENGHT2]])&amp;"),"</f>
        <v>LOCATION VARCHAR(6),</v>
      </c>
    </row>
    <row r="52" spans="2:6" x14ac:dyDescent="0.25">
      <c r="B52" s="35" t="s">
        <v>542</v>
      </c>
      <c r="C52" s="13" t="s">
        <v>690</v>
      </c>
      <c r="D52" s="18">
        <v>100</v>
      </c>
      <c r="E52" s="14">
        <f>IF(Table17[[#This Row],[TYPE]]="ENUM",0,Table17[[#This Row],[LENGTH]])</f>
        <v>100</v>
      </c>
      <c r="F52" s="1" t="str">
        <f>Table17[[#This Row],[OB]]&amp;" "&amp;Table17[[#This Row],[TYPE]]&amp;"("&amp;IF(Table17[[#This Row],[TYPE]]="ENUM",("'"&amp;Table17[[#This Row],[LENGTH]]),Table17[[#This Row],[LENGHT2]])&amp;"),"</f>
        <v>NOTE_LOC VARCHAR(100),</v>
      </c>
    </row>
    <row r="53" spans="2:6" x14ac:dyDescent="0.25">
      <c r="B53" s="35" t="s">
        <v>333</v>
      </c>
      <c r="C53" s="13" t="s">
        <v>712</v>
      </c>
      <c r="D53" s="18">
        <v>6</v>
      </c>
      <c r="E53" s="14">
        <f>IF(Table17[[#This Row],[TYPE]]="ENUM",0,Table17[[#This Row],[LENGTH]])</f>
        <v>6</v>
      </c>
      <c r="F53" s="1" t="str">
        <f>Table17[[#This Row],[OB]]&amp;" "&amp;Table17[[#This Row],[TYPE]]&amp;"("&amp;IF(Table17[[#This Row],[TYPE]]="ENUM",("'"&amp;Table17[[#This Row],[LENGTH]]),Table17[[#This Row],[LENGHT2]])&amp;"),"</f>
        <v>PIC_NIP INT(6),</v>
      </c>
    </row>
    <row r="54" spans="2:6" x14ac:dyDescent="0.25">
      <c r="B54" s="35" t="s">
        <v>544</v>
      </c>
      <c r="C54" s="13" t="s">
        <v>690</v>
      </c>
      <c r="D54" s="18">
        <v>11</v>
      </c>
      <c r="E54" s="14">
        <f>IF(Table17[[#This Row],[TYPE]]="ENUM",0,Table17[[#This Row],[LENGTH]])</f>
        <v>11</v>
      </c>
      <c r="F54" s="1" t="str">
        <f>Table17[[#This Row],[OB]]&amp;" "&amp;Table17[[#This Row],[TYPE]]&amp;"("&amp;IF(Table17[[#This Row],[TYPE]]="ENUM",("'"&amp;Table17[[#This Row],[LENGTH]]),Table17[[#This Row],[LENGHT2]])&amp;"),"</f>
        <v>ID_MAINTENANCE VARCHAR(11),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511F-DEA9-46E3-AE19-14E0364675DF}">
  <dimension ref="B4:F8"/>
  <sheetViews>
    <sheetView showGridLines="0" zoomScale="85" zoomScaleNormal="85" workbookViewId="0">
      <selection activeCell="F5" sqref="F5:F8"/>
    </sheetView>
  </sheetViews>
  <sheetFormatPr defaultRowHeight="15" x14ac:dyDescent="0.25"/>
  <cols>
    <col min="1" max="1" width="2.7109375" customWidth="1"/>
    <col min="2" max="2" width="16.42578125" bestFit="1" customWidth="1"/>
    <col min="3" max="3" width="14.7109375" bestFit="1" customWidth="1"/>
    <col min="4" max="4" width="18.140625" bestFit="1" customWidth="1"/>
    <col min="5" max="5" width="15.42578125" bestFit="1" customWidth="1"/>
    <col min="6" max="6" width="54.85546875" bestFit="1" customWidth="1"/>
  </cols>
  <sheetData>
    <row r="4" spans="2:6" x14ac:dyDescent="0.25">
      <c r="B4" s="3" t="s">
        <v>544</v>
      </c>
      <c r="C4" s="3" t="s">
        <v>695</v>
      </c>
      <c r="D4" s="3" t="s">
        <v>697</v>
      </c>
      <c r="E4" s="3" t="s">
        <v>706</v>
      </c>
      <c r="F4" s="3" t="s">
        <v>302</v>
      </c>
    </row>
    <row r="5" spans="2:6" x14ac:dyDescent="0.25">
      <c r="B5" s="5" t="s">
        <v>692</v>
      </c>
      <c r="C5" s="16" t="s">
        <v>508</v>
      </c>
      <c r="D5" s="16"/>
      <c r="E5" s="36"/>
      <c r="F5" s="1" t="str">
        <f>"('"&amp;ME[[#This Row],[ID_MAINTENANCE]]&amp;"','"&amp;ME[[#This Row],[MAINTENANCE]]&amp;"','"&amp;
ME[[#This Row],[TIME_DESC]]&amp;"','"&amp;ME[[#This Row],[CHARACTERISTIC]]&amp;"'),"</f>
        <v>('ME00','NA','',''),</v>
      </c>
    </row>
    <row r="6" spans="2:6" x14ac:dyDescent="0.25">
      <c r="B6" s="4" t="s">
        <v>691</v>
      </c>
      <c r="C6" s="17" t="s">
        <v>696</v>
      </c>
      <c r="D6" s="37" t="s">
        <v>700</v>
      </c>
      <c r="E6" s="37" t="s">
        <v>703</v>
      </c>
      <c r="F6" s="1" t="str">
        <f>"('"&amp;ME[[#This Row],[ID_MAINTENANCE]]&amp;"','"&amp;ME[[#This Row],[MAINTENANCE]]&amp;"','"&amp;
ME[[#This Row],[TIME_DESC]]&amp;"','"&amp;ME[[#This Row],[CHARACTERISTIC]]&amp;"'),"</f>
        <v>('ME01','PREVENTIVE','PERIODICALLY','PROACTIVE'),</v>
      </c>
    </row>
    <row r="7" spans="2:6" x14ac:dyDescent="0.25">
      <c r="B7" s="4" t="s">
        <v>693</v>
      </c>
      <c r="C7" s="17" t="s">
        <v>698</v>
      </c>
      <c r="D7" s="37" t="s">
        <v>701</v>
      </c>
      <c r="E7" s="37" t="s">
        <v>704</v>
      </c>
      <c r="F7" s="1" t="str">
        <f>"('"&amp;ME[[#This Row],[ID_MAINTENANCE]]&amp;"','"&amp;ME[[#This Row],[MAINTENANCE]]&amp;"','"&amp;
ME[[#This Row],[TIME_DESC]]&amp;"','"&amp;ME[[#This Row],[CHARACTERISTIC]]&amp;"'),"</f>
        <v>('ME02','CORRECTIVE','AFTER BEING DAMAGED','REACTIVE'),</v>
      </c>
    </row>
    <row r="8" spans="2:6" x14ac:dyDescent="0.25">
      <c r="B8" s="4" t="s">
        <v>694</v>
      </c>
      <c r="C8" s="17" t="s">
        <v>699</v>
      </c>
      <c r="D8" s="37" t="s">
        <v>702</v>
      </c>
      <c r="E8" s="37" t="s">
        <v>705</v>
      </c>
      <c r="F8" s="1" t="str">
        <f>"('"&amp;ME[[#This Row],[ID_MAINTENANCE]]&amp;"','"&amp;ME[[#This Row],[MAINTENANCE]]&amp;"','"&amp;
ME[[#This Row],[TIME_DESC]]&amp;"','"&amp;ME[[#This Row],[CHARACTERISTIC]]&amp;"'),"</f>
        <v>('ME03','PREDICTIVE','BASED ON PREDICTIONS','SMART PROACTIVE'),</v>
      </c>
    </row>
  </sheetData>
  <phoneticPr fontId="3" type="noConversion"/>
  <conditionalFormatting sqref="B5:C8">
    <cfRule type="duplicateValues" dxfId="1" priority="3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7005-42DF-48EC-930C-FA39B92DFA05}">
  <dimension ref="B3:G8"/>
  <sheetViews>
    <sheetView zoomScale="85" zoomScaleNormal="85" workbookViewId="0">
      <selection activeCell="B6" sqref="B6"/>
    </sheetView>
  </sheetViews>
  <sheetFormatPr defaultRowHeight="15" x14ac:dyDescent="0.25"/>
  <cols>
    <col min="1" max="1" width="2.7109375" customWidth="1"/>
    <col min="2" max="2" width="22.140625" bestFit="1" customWidth="1"/>
    <col min="3" max="3" width="19.140625" bestFit="1" customWidth="1"/>
    <col min="4" max="4" width="19.140625" customWidth="1"/>
    <col min="5" max="5" width="19.7109375" bestFit="1" customWidth="1"/>
    <col min="6" max="6" width="19.7109375" customWidth="1"/>
    <col min="7" max="7" width="38.85546875" bestFit="1" customWidth="1"/>
  </cols>
  <sheetData>
    <row r="3" spans="2:7" x14ac:dyDescent="0.25">
      <c r="B3" s="27" cm="1">
        <f t="array" ref="B3">MAX(LEN(TASK[ID_TASK]))</f>
        <v>10</v>
      </c>
      <c r="C3" s="27" cm="1">
        <f t="array" ref="C3">MAX(LEN(TASK[ID_MAINTENANCE2]))</f>
        <v>4</v>
      </c>
      <c r="D3" s="27" cm="1">
        <f t="array" ref="D3">MAX(LEN(TASK[MAINTENANCE]))</f>
        <v>10</v>
      </c>
      <c r="E3" s="27" cm="1">
        <f t="array" ref="E3">MAX(LEN(TASK[SCHEDULE_TASK]))</f>
        <v>5</v>
      </c>
      <c r="F3" s="27" cm="1">
        <f t="array" ref="F3">MAX(LEN(TASK[SCH_CONV]))</f>
        <v>10</v>
      </c>
    </row>
    <row r="4" spans="2:7" x14ac:dyDescent="0.25">
      <c r="B4" s="3" t="s">
        <v>708</v>
      </c>
      <c r="C4" s="3" t="s">
        <v>707</v>
      </c>
      <c r="D4" s="38" t="s">
        <v>695</v>
      </c>
      <c r="E4" s="3" t="s">
        <v>709</v>
      </c>
      <c r="F4" s="3" t="s">
        <v>710</v>
      </c>
      <c r="G4" s="3" t="s">
        <v>302</v>
      </c>
    </row>
    <row r="5" spans="2:7" x14ac:dyDescent="0.25">
      <c r="B5" s="5" t="str">
        <f>TASK[[#This Row],[ID_MAINTENANCE2]]&amp;TEXT(TASK[[#This Row],[SCHEDULE_TASK]],"YYMMDD")</f>
        <v>ME00251012</v>
      </c>
      <c r="C5" s="16" t="s">
        <v>692</v>
      </c>
      <c r="D5" s="36" t="str">
        <f>_xlfn.IFNA(VLOOKUP(TASK[[#This Row],[ID_MAINTENANCE2]],ME[[ID_MAINTENANCE]:[CHARACTERISTIC]],2,0),"NA")</f>
        <v>NA</v>
      </c>
      <c r="E5" s="15">
        <v>45942</v>
      </c>
      <c r="F5" s="15" t="str">
        <f>TEXT(TASK[[#This Row],[SCHEDULE_TASK]],"YYYY-MM-DD")</f>
        <v>2025-10-12</v>
      </c>
      <c r="G5" s="1" t="str">
        <f>"('"&amp;TASK[[#This Row],[ID_TASK]]&amp;"','"&amp;TASK[[#This Row],[ID_MAINTENANCE2]]&amp;"','"&amp;TASK[[#This Row],[SCH_CONV]]&amp;"'),"</f>
        <v>('ME00251012','ME00','2025-10-12'),</v>
      </c>
    </row>
    <row r="6" spans="2:7" x14ac:dyDescent="0.25">
      <c r="B6" s="4" t="str">
        <f>TASK[[#This Row],[ID_MAINTENANCE2]]&amp;TEXT(TASK[[#This Row],[SCHEDULE_TASK]],"YYMMDD")</f>
        <v>ME01251012</v>
      </c>
      <c r="C6" s="17" t="s">
        <v>691</v>
      </c>
      <c r="D6" s="37" t="str">
        <f>_xlfn.IFNA(VLOOKUP(TASK[[#This Row],[ID_MAINTENANCE2]],ME[[ID_MAINTENANCE]:[CHARACTERISTIC]],2,0),"NA")</f>
        <v>PREVENTIVE</v>
      </c>
      <c r="E6" s="8">
        <v>45942</v>
      </c>
      <c r="F6" s="8" t="str">
        <f>TEXT(TASK[[#This Row],[SCHEDULE_TASK]],"YYYY-MM-DD")</f>
        <v>2025-10-12</v>
      </c>
      <c r="G6" s="1" t="str">
        <f>"('"&amp;TASK[[#This Row],[ID_TASK]]&amp;"','"&amp;TASK[[#This Row],[ID_MAINTENANCE2]]&amp;"','"&amp;TASK[[#This Row],[SCH_CONV]]&amp;"'),"</f>
        <v>('ME01251012','ME01','2025-10-12'),</v>
      </c>
    </row>
    <row r="7" spans="2:7" x14ac:dyDescent="0.25">
      <c r="B7" s="4" t="str">
        <f>TASK[[#This Row],[ID_MAINTENANCE2]]&amp;TEXT(TASK[[#This Row],[SCHEDULE_TASK]],"YYMMDD")</f>
        <v>ME02251012</v>
      </c>
      <c r="C7" s="17" t="s">
        <v>693</v>
      </c>
      <c r="D7" s="37" t="str">
        <f>_xlfn.IFNA(VLOOKUP(TASK[[#This Row],[ID_MAINTENANCE2]],ME[[ID_MAINTENANCE]:[CHARACTERISTIC]],2,0),"NA")</f>
        <v>CORRECTIVE</v>
      </c>
      <c r="E7" s="8">
        <v>45942</v>
      </c>
      <c r="F7" s="8" t="str">
        <f>TEXT(TASK[[#This Row],[SCHEDULE_TASK]],"YYYY-MM-DD")</f>
        <v>2025-10-12</v>
      </c>
      <c r="G7" s="1" t="str">
        <f>"('"&amp;TASK[[#This Row],[ID_TASK]]&amp;"','"&amp;TASK[[#This Row],[ID_MAINTENANCE2]]&amp;"','"&amp;TASK[[#This Row],[SCH_CONV]]&amp;"'),"</f>
        <v>('ME02251012','ME02','2025-10-12'),</v>
      </c>
    </row>
    <row r="8" spans="2:7" x14ac:dyDescent="0.25">
      <c r="B8" s="4" t="str">
        <f>TASK[[#This Row],[ID_MAINTENANCE2]]&amp;TEXT(TASK[[#This Row],[SCHEDULE_TASK]],"YYMMDD")</f>
        <v>ME03251012</v>
      </c>
      <c r="C8" s="17" t="s">
        <v>694</v>
      </c>
      <c r="D8" s="37" t="str">
        <f>_xlfn.IFNA(VLOOKUP(TASK[[#This Row],[ID_MAINTENANCE2]],ME[[ID_MAINTENANCE]:[CHARACTERISTIC]],2,0),"NA")</f>
        <v>PREDICTIVE</v>
      </c>
      <c r="E8" s="8">
        <v>45942</v>
      </c>
      <c r="F8" s="8" t="str">
        <f>TEXT(TASK[[#This Row],[SCHEDULE_TASK]],"YYYY-MM-DD")</f>
        <v>2025-10-12</v>
      </c>
      <c r="G8" s="1" t="str">
        <f>"('"&amp;TASK[[#This Row],[ID_TASK]]&amp;"','"&amp;TASK[[#This Row],[ID_MAINTENANCE2]]&amp;"','"&amp;TASK[[#This Row],[SCH_CONV]]&amp;"'),"</f>
        <v>('ME03251012','ME03','2025-10-12'),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9ECC-9A7D-4EB0-9F76-008602F08A68}">
  <dimension ref="B3:H8"/>
  <sheetViews>
    <sheetView zoomScale="85" zoomScaleNormal="85" workbookViewId="0">
      <selection activeCell="P9" sqref="P9"/>
    </sheetView>
  </sheetViews>
  <sheetFormatPr defaultRowHeight="15" x14ac:dyDescent="0.25"/>
  <cols>
    <col min="1" max="1" width="2.7109375" customWidth="1"/>
    <col min="2" max="2" width="22.140625" bestFit="1" customWidth="1"/>
    <col min="3" max="3" width="9.28515625" bestFit="1" customWidth="1"/>
    <col min="4" max="4" width="19.140625" bestFit="1" customWidth="1"/>
    <col min="5" max="5" width="19.140625" customWidth="1"/>
    <col min="6" max="6" width="19.7109375" bestFit="1" customWidth="1"/>
    <col min="7" max="7" width="19.7109375" customWidth="1"/>
    <col min="8" max="8" width="38.85546875" bestFit="1" customWidth="1"/>
  </cols>
  <sheetData>
    <row r="3" spans="2:8" x14ac:dyDescent="0.25">
      <c r="B3" s="27" cm="1">
        <f t="array" ref="B3">MAX(LEN(TASK19[ID_WH]))</f>
        <v>10</v>
      </c>
      <c r="C3" s="27"/>
      <c r="D3" s="27" cm="1">
        <f t="array" ref="D3">MAX(LEN(TASK19[ID_ASSET]))</f>
        <v>6</v>
      </c>
      <c r="E3" s="27" cm="1">
        <f t="array" ref="E3">MAX(LEN(TASK19[WH_SITE]))</f>
        <v>3</v>
      </c>
      <c r="F3" s="27" cm="1">
        <f t="array" ref="F3">MAX(LEN(TASK19[STATUS]))</f>
        <v>8</v>
      </c>
      <c r="G3" s="27" cm="1">
        <f t="array" ref="G3">MAX(LEN(TASK19[STATUS_AVAILABLE]))</f>
        <v>1</v>
      </c>
    </row>
    <row r="4" spans="2:8" x14ac:dyDescent="0.25">
      <c r="B4" s="3" t="s">
        <v>773</v>
      </c>
      <c r="C4" s="3" t="s">
        <v>8</v>
      </c>
      <c r="D4" s="3" t="s">
        <v>478</v>
      </c>
      <c r="E4" s="3" t="s">
        <v>774</v>
      </c>
      <c r="F4" s="3" t="s">
        <v>288</v>
      </c>
      <c r="G4" s="63" t="s">
        <v>775</v>
      </c>
      <c r="H4" s="3" t="s">
        <v>302</v>
      </c>
    </row>
    <row r="5" spans="2:8" x14ac:dyDescent="0.25">
      <c r="B5" s="4" t="str">
        <f>"WH-"&amp;TASK19[[#This Row],[WH_SITE]]&amp;"-"&amp;TASK19[[#This Row],[NO]]</f>
        <v>WH-O99-001</v>
      </c>
      <c r="C5" s="62" t="s">
        <v>776</v>
      </c>
      <c r="D5" s="17" t="s">
        <v>780</v>
      </c>
      <c r="E5" s="37" t="s">
        <v>293</v>
      </c>
      <c r="F5" s="4" t="s">
        <v>745</v>
      </c>
      <c r="G5" s="4">
        <f>IF(OR(TASK19[[#This Row],[STATUS]]="IN STORE",TASK19[[#This Row],[STATUS]]="IN REPAIR"),1,0)</f>
        <v>1</v>
      </c>
      <c r="H5" s="1" t="str">
        <f>"('"&amp;TASK19[[#This Row],[ID_WH]]&amp;"','"&amp;TASK19[[#This Row],[ID_ASSET]]&amp;"','"&amp;TASK19[[#This Row],[WH_SITE]]&amp;"','"&amp;TASK19[[#This Row],[STATUS]]&amp;"','"&amp;TASK19[[#This Row],[STATUS_AVAILABLE]]&amp;"'),"</f>
        <v>('WH-O99-001','NB.001','O99','IN STORE','1'),</v>
      </c>
    </row>
    <row r="6" spans="2:8" x14ac:dyDescent="0.25">
      <c r="B6" s="4" t="str">
        <f>"WH-"&amp;TASK19[[#This Row],[WH_SITE]]&amp;"-"&amp;TASK19[[#This Row],[NO]]</f>
        <v>WH-M01-002</v>
      </c>
      <c r="C6" s="62" t="s">
        <v>777</v>
      </c>
      <c r="D6" s="17" t="s">
        <v>782</v>
      </c>
      <c r="E6" s="37" t="s">
        <v>441</v>
      </c>
      <c r="F6" s="4" t="s">
        <v>781</v>
      </c>
      <c r="G6" s="4">
        <f>IF(OR(TASK19[[#This Row],[STATUS]]="IN STORE",TASK19[[#This Row],[STATUS]]="IN REPAIR"),1,0)</f>
        <v>0</v>
      </c>
      <c r="H6" s="1" t="str">
        <f>"('"&amp;TASK19[[#This Row],[ID_WH]]&amp;"','"&amp;TASK19[[#This Row],[ID_ASSET]]&amp;"','"&amp;TASK19[[#This Row],[WH_SITE]]&amp;"','"&amp;TASK19[[#This Row],[STATUS]]&amp;"','"&amp;TASK19[[#This Row],[STATUS_AVAILABLE]]&amp;"'),"</f>
        <v>('WH-M01-002','NB.002','M01','EXPIRED','0'),</v>
      </c>
    </row>
    <row r="7" spans="2:8" x14ac:dyDescent="0.25">
      <c r="B7" s="4" t="str">
        <f>"WH-"&amp;TASK19[[#This Row],[WH_SITE]]&amp;"-"&amp;TASK19[[#This Row],[NO]]</f>
        <v>WH-M02-003</v>
      </c>
      <c r="C7" s="62" t="s">
        <v>778</v>
      </c>
      <c r="D7" s="17" t="s">
        <v>783</v>
      </c>
      <c r="E7" s="37" t="s">
        <v>292</v>
      </c>
      <c r="F7" s="4" t="s">
        <v>742</v>
      </c>
      <c r="G7" s="4">
        <f>IF(OR(TASK19[[#This Row],[STATUS]]="IN STORE",TASK19[[#This Row],[STATUS]]="IN REPAIR"),1,0)</f>
        <v>0</v>
      </c>
      <c r="H7" s="1" t="str">
        <f>"('"&amp;TASK19[[#This Row],[ID_WH]]&amp;"','"&amp;TASK19[[#This Row],[ID_ASSET]]&amp;"','"&amp;TASK19[[#This Row],[WH_SITE]]&amp;"','"&amp;TASK19[[#This Row],[STATUS]]&amp;"','"&amp;TASK19[[#This Row],[STATUS_AVAILABLE]]&amp;"'),"</f>
        <v>('WH-M02-003','NB.003','M02','DISPOSE','0'),</v>
      </c>
    </row>
    <row r="8" spans="2:8" x14ac:dyDescent="0.25">
      <c r="B8" s="4" t="str">
        <f>"WH-"&amp;TASK19[[#This Row],[WH_SITE]]&amp;"-"&amp;TASK19[[#This Row],[NO]]</f>
        <v>WH-M03-004</v>
      </c>
      <c r="C8" s="62" t="s">
        <v>779</v>
      </c>
      <c r="D8" s="17" t="s">
        <v>784</v>
      </c>
      <c r="E8" s="37" t="s">
        <v>294</v>
      </c>
      <c r="F8" s="4" t="s">
        <v>742</v>
      </c>
      <c r="G8" s="4">
        <f>IF(OR(TASK19[[#This Row],[STATUS]]="IN STORE",TASK19[[#This Row],[STATUS]]="IN REPAIR"),1,0)</f>
        <v>0</v>
      </c>
      <c r="H8" s="1" t="str">
        <f>"('"&amp;TASK19[[#This Row],[ID_WH]]&amp;"','"&amp;TASK19[[#This Row],[ID_ASSET]]&amp;"','"&amp;TASK19[[#This Row],[WH_SITE]]&amp;"','"&amp;TASK19[[#This Row],[STATUS]]&amp;"','"&amp;TASK19[[#This Row],[STATUS_AVAILABLE]]&amp;"'),"</f>
        <v>('WH-M03-004','NB.004','M03','DISPOSE','0'),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737A-4B8C-4289-BE53-AF00EC614659}">
  <dimension ref="B3:T17"/>
  <sheetViews>
    <sheetView zoomScale="85" zoomScaleNormal="85" workbookViewId="0">
      <selection activeCell="T5" sqref="T5:T17"/>
    </sheetView>
  </sheetViews>
  <sheetFormatPr defaultRowHeight="15" x14ac:dyDescent="0.25"/>
  <cols>
    <col min="1" max="1" width="2.7109375" customWidth="1"/>
    <col min="2" max="2" width="17.28515625" bestFit="1" customWidth="1"/>
    <col min="3" max="3" width="16.42578125" bestFit="1" customWidth="1"/>
    <col min="4" max="4" width="19.140625" bestFit="1" customWidth="1"/>
    <col min="5" max="5" width="9.140625" bestFit="1" customWidth="1"/>
    <col min="6" max="6" width="16.42578125" bestFit="1" customWidth="1"/>
    <col min="7" max="7" width="16.7109375" bestFit="1" customWidth="1"/>
    <col min="8" max="8" width="12.5703125" bestFit="1" customWidth="1"/>
    <col min="9" max="9" width="12.5703125" customWidth="1"/>
    <col min="10" max="10" width="17.140625" bestFit="1" customWidth="1"/>
    <col min="11" max="14" width="17.140625" customWidth="1"/>
    <col min="15" max="15" width="16.5703125" bestFit="1" customWidth="1"/>
    <col min="16" max="16" width="9.85546875" bestFit="1" customWidth="1"/>
    <col min="17" max="17" width="23.5703125" bestFit="1" customWidth="1"/>
    <col min="18" max="19" width="20.28515625" bestFit="1" customWidth="1"/>
    <col min="20" max="20" width="134.28515625" bestFit="1" customWidth="1"/>
  </cols>
  <sheetData>
    <row r="3" spans="2:20" x14ac:dyDescent="0.25">
      <c r="B3" s="31" cm="1">
        <f t="array" ref="B3">MAX(LEN(LEVEL101114[BARCODE]))</f>
        <v>15</v>
      </c>
      <c r="C3" s="31"/>
      <c r="D3" s="31"/>
      <c r="E3" s="31" cm="1">
        <f t="array" ref="E3">MAX(LEN(LEVEL101114[ID_SITE]))</f>
        <v>3</v>
      </c>
      <c r="F3" s="31" cm="1">
        <f t="array" ref="F3">MAX(LEN(LEVEL101114[NO_PR]))</f>
        <v>15</v>
      </c>
      <c r="G3" s="31" cm="1">
        <f t="array" ref="G3">MAX(LEN(LEVEL101114[NO_PO]))</f>
        <v>16</v>
      </c>
      <c r="H3" s="31" cm="1">
        <f t="array" ref="H3">MAX(LEN(LEVEL101114[DATE_PR]))</f>
        <v>5</v>
      </c>
      <c r="I3" s="31" cm="1">
        <f t="array" ref="I3">MAX(LEN(LEVEL101114[CONVDPR]))</f>
        <v>10</v>
      </c>
      <c r="J3" s="31" cm="1">
        <f t="array" ref="J3">MAX(LEN(LEVEL101114[DATE_PO]))</f>
        <v>10</v>
      </c>
      <c r="K3" s="31" cm="1">
        <f t="array" ref="K3">MAX(LEN(LEVEL101114[CONVPO]))</f>
        <v>10</v>
      </c>
      <c r="L3" s="31" cm="1">
        <f t="array" ref="L3">MAX(LEN(LEVEL101114[DATE_SHIPPING]))</f>
        <v>10</v>
      </c>
      <c r="M3" s="31" cm="1">
        <f t="array" ref="M3">MAX(LEN(LEVEL101114[CONVSHP]))</f>
        <v>10</v>
      </c>
      <c r="N3" s="31"/>
      <c r="O3" s="31" cm="1">
        <f t="array" ref="O3">MAX(LEN(LEVEL101114[PRICE]))</f>
        <v>8</v>
      </c>
      <c r="P3" s="31" cm="1">
        <f t="array" ref="P3">MAX(LEN(LEVEL101114[QTY]))</f>
        <v>1</v>
      </c>
      <c r="Q3" s="31" cm="1">
        <f t="array" ref="Q3">MAX(LEN(LEVEL101114[DATE_ACQUISITION]))</f>
        <v>10</v>
      </c>
      <c r="R3" s="31" cm="1">
        <f t="array" ref="R3">MAX(LEN(LEVEL101114[CONVACQ]))</f>
        <v>10</v>
      </c>
      <c r="S3" s="31" cm="1">
        <f t="array" ref="S3">MAX(LEN(LEVEL101114[COLL-SUPPORT1]))</f>
        <v>15</v>
      </c>
    </row>
    <row r="4" spans="2:20" x14ac:dyDescent="0.25">
      <c r="B4" s="3" t="s">
        <v>481</v>
      </c>
      <c r="C4" s="3" t="s">
        <v>657</v>
      </c>
      <c r="D4" s="3" t="s">
        <v>655</v>
      </c>
      <c r="E4" s="3" t="s">
        <v>5</v>
      </c>
      <c r="F4" s="3" t="s">
        <v>545</v>
      </c>
      <c r="G4" s="3" t="s">
        <v>546</v>
      </c>
      <c r="H4" s="3" t="s">
        <v>548</v>
      </c>
      <c r="I4" s="3" t="s">
        <v>557</v>
      </c>
      <c r="J4" s="3" t="s">
        <v>547</v>
      </c>
      <c r="K4" s="3" t="s">
        <v>558</v>
      </c>
      <c r="L4" s="3" t="s">
        <v>578</v>
      </c>
      <c r="M4" s="3" t="s">
        <v>579</v>
      </c>
      <c r="N4" s="3" t="s">
        <v>656</v>
      </c>
      <c r="O4" s="3" t="s">
        <v>659</v>
      </c>
      <c r="P4" s="3" t="s">
        <v>549</v>
      </c>
      <c r="Q4" s="3" t="s">
        <v>634</v>
      </c>
      <c r="R4" s="3" t="s">
        <v>636</v>
      </c>
      <c r="S4" s="3" t="s">
        <v>635</v>
      </c>
      <c r="T4" s="3" t="s">
        <v>302</v>
      </c>
    </row>
    <row r="5" spans="2:20" x14ac:dyDescent="0.25">
      <c r="B5" s="48" t="s">
        <v>750</v>
      </c>
      <c r="C5" s="5" t="s">
        <v>658</v>
      </c>
      <c r="D5" s="5">
        <v>221284</v>
      </c>
      <c r="E5" s="5" t="s">
        <v>293</v>
      </c>
      <c r="F5" s="45" t="s">
        <v>746</v>
      </c>
      <c r="G5" s="45" t="s">
        <v>747</v>
      </c>
      <c r="H5" s="40">
        <v>36526</v>
      </c>
      <c r="I5" s="15" t="str">
        <f>IF(LEVEL101114[[#This Row],[DATE_PR]]&lt;&gt;"-",TEXT(LEVEL101114[[#This Row],[DATE_PR]],"YYYY-MM-DD"),"-")</f>
        <v>2000-01-01</v>
      </c>
      <c r="J5" s="40">
        <v>36526</v>
      </c>
      <c r="K5" s="15" t="str">
        <f>IF(LEVEL101114[[#This Row],[DATE_PO]]&lt;&gt;"-",TEXT(LEVEL101114[[#This Row],[DATE_PO]],"YYYY-MM-DD"),"-")</f>
        <v>2000-01-01</v>
      </c>
      <c r="L5" s="40">
        <v>36526</v>
      </c>
      <c r="M5" s="15" t="str">
        <f>IF(LEVEL101114[[#This Row],[DATE_SHIPPING]]&lt;&gt;"-",TEXT(LEVEL101114[[#This Row],[DATE_SHIPPING]],"YYYY-MM-DD"),"-")</f>
        <v>2000-01-01</v>
      </c>
      <c r="N5" s="47">
        <v>170747</v>
      </c>
      <c r="O5" s="46">
        <v>15000000</v>
      </c>
      <c r="P5" s="5">
        <v>1</v>
      </c>
      <c r="Q5" s="40" t="s">
        <v>748</v>
      </c>
      <c r="R5" s="15" t="str">
        <f>IF(LEVEL101114[[#This Row],[DATE_ACQUISITION]]&lt;&gt;"-",TEXT(LEVEL101114[[#This Row],[DATE_ACQUISITION]],"YYYY-MM-DD"),"-")</f>
        <v>2000-01-01</v>
      </c>
      <c r="S5" s="9" t="str">
        <f>IF(COUNTBLANK(LEVEL101114[[#This Row],[BARCODE]:[CONVACQ]])&gt;0,"VALIDATE [IN PROGRESS]","VALIDATE [DONE]")</f>
        <v>VALIDATE [DONE]</v>
      </c>
      <c r="T5" s="1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('MASHQEQP2000002','EQP-001',221284,'O99','PR/XXX/0000/000','POP/XXX/0000/000','2000-01-01','2000-01-01','2000-01-01',170747,'15000000','1','2000-01-01'),</v>
      </c>
    </row>
    <row r="6" spans="2:20" x14ac:dyDescent="0.25">
      <c r="B6" s="9" t="s">
        <v>654</v>
      </c>
      <c r="C6" s="5" t="s">
        <v>658</v>
      </c>
      <c r="D6" s="5">
        <v>250501</v>
      </c>
      <c r="E6" s="5" t="s">
        <v>293</v>
      </c>
      <c r="F6" s="45" t="s">
        <v>746</v>
      </c>
      <c r="G6" s="16" t="s">
        <v>576</v>
      </c>
      <c r="H6" s="40">
        <v>36526</v>
      </c>
      <c r="I6" s="15" t="str">
        <f>IF(LEVEL101114[[#This Row],[DATE_PR]]&lt;&gt;"-",TEXT(LEVEL101114[[#This Row],[DATE_PR]],"YYYY-MM-DD"),"-")</f>
        <v>2000-01-01</v>
      </c>
      <c r="J6" s="40">
        <v>36526</v>
      </c>
      <c r="K6" s="15" t="str">
        <f>IF(LEVEL101114[[#This Row],[DATE_PO]]&lt;&gt;"-",TEXT(LEVEL101114[[#This Row],[DATE_PO]],"YYYY-MM-DD"),"-")</f>
        <v>2000-01-01</v>
      </c>
      <c r="L6" s="15" t="s">
        <v>577</v>
      </c>
      <c r="M6" s="15" t="str">
        <f>IF(LEVEL101114[[#This Row],[DATE_SHIPPING]]&lt;&gt;"-",TEXT(LEVEL101114[[#This Row],[DATE_SHIPPING]],"YYYY-MM-DD"),"-")</f>
        <v>2023-12-08</v>
      </c>
      <c r="N6" s="47">
        <v>170747</v>
      </c>
      <c r="O6" s="46">
        <v>15300000</v>
      </c>
      <c r="P6" s="5">
        <v>1</v>
      </c>
      <c r="Q6" s="15">
        <v>45275</v>
      </c>
      <c r="R6" s="15" t="str">
        <f>IF(LEVEL101114[[#This Row],[DATE_ACQUISITION]]&lt;&gt;"-",TEXT(LEVEL101114[[#This Row],[DATE_ACQUISITION]],"YYYY-MM-DD"),"-")</f>
        <v>2023-12-15</v>
      </c>
      <c r="S6" s="9" t="str">
        <f>IF(COUNTBLANK(LEVEL101114[[#This Row],[BARCODE]:[CONVACQ]])&gt;0,"VALIDATE [IN PROGRESS]","VALIDATE [DONE]")</f>
        <v>VALIDATE [DONE]</v>
      </c>
      <c r="T6" s="1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('MASHQEQP2300012','EQP-001',250501,'O99','PR/XXX/0000/000','POP/ASR/1123/006','2000-01-01','2000-01-01','2023-12-08',170747,'15300000','1','2023-12-15'),</v>
      </c>
    </row>
    <row r="7" spans="2:20" x14ac:dyDescent="0.25">
      <c r="B7" s="9" t="s">
        <v>554</v>
      </c>
      <c r="C7" s="5" t="s">
        <v>658</v>
      </c>
      <c r="D7" s="5">
        <v>240287</v>
      </c>
      <c r="E7" s="5" t="s">
        <v>293</v>
      </c>
      <c r="F7" s="16" t="s">
        <v>553</v>
      </c>
      <c r="G7" s="16" t="s">
        <v>555</v>
      </c>
      <c r="H7" s="15">
        <v>45301</v>
      </c>
      <c r="I7" s="15" t="str">
        <f>IF(LEVEL101114[[#This Row],[DATE_PR]]&lt;&gt;"-",TEXT(LEVEL101114[[#This Row],[DATE_PR]],"YYYY-MM-DD"),"-")</f>
        <v>2024-01-10</v>
      </c>
      <c r="J7" s="15" t="s">
        <v>583</v>
      </c>
      <c r="K7" s="15" t="str">
        <f>IF(LEVEL101114[[#This Row],[DATE_PO]]&lt;&gt;"-",TEXT(LEVEL101114[[#This Row],[DATE_PO]],"YYYY-MM-DD"),"-")</f>
        <v>2024-02-22</v>
      </c>
      <c r="L7" s="15" t="s">
        <v>583</v>
      </c>
      <c r="M7" s="15" t="str">
        <f>IF(LEVEL101114[[#This Row],[DATE_SHIPPING]]&lt;&gt;"-",TEXT(LEVEL101114[[#This Row],[DATE_SHIPPING]],"YYYY-MM-DD"),"-")</f>
        <v>2024-02-22</v>
      </c>
      <c r="N7" s="34">
        <v>170747</v>
      </c>
      <c r="O7" s="33">
        <v>24650000</v>
      </c>
      <c r="P7" s="5">
        <v>1</v>
      </c>
      <c r="Q7" s="15">
        <v>45351</v>
      </c>
      <c r="R7" s="15" t="str">
        <f>IF(LEVEL101114[[#This Row],[DATE_ACQUISITION]]&lt;&gt;"-",TEXT(LEVEL101114[[#This Row],[DATE_ACQUISITION]],"YYYY-MM-DD"),"-")</f>
        <v>2024-02-29</v>
      </c>
      <c r="S7" s="9" t="str">
        <f>IF(COUNTBLANK(LEVEL101114[[#This Row],[BARCODE]:[CONVACQ]])&gt;0,"VALIDATE [IN PROGRESS]","VALIDATE [DONE]")</f>
        <v>VALIDATE [DONE]</v>
      </c>
      <c r="T7" s="6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('MASHQEQP2400003','EQP-001',240287,'O99','PR/ASR/0124/003','POP/ASR/0124/013','2024-01-10','2024-02-22','2024-02-22',170747,'24650000','1','2024-02-29'),</v>
      </c>
    </row>
    <row r="8" spans="2:20" x14ac:dyDescent="0.25">
      <c r="B8" s="9" t="s">
        <v>497</v>
      </c>
      <c r="C8" s="5" t="s">
        <v>658</v>
      </c>
      <c r="D8" s="5">
        <v>240763</v>
      </c>
      <c r="E8" s="5" t="s">
        <v>293</v>
      </c>
      <c r="F8" s="16" t="s">
        <v>552</v>
      </c>
      <c r="G8" s="16" t="s">
        <v>556</v>
      </c>
      <c r="H8" s="15">
        <v>45387</v>
      </c>
      <c r="I8" s="15" t="str">
        <f>IF(LEVEL101114[[#This Row],[DATE_PR]]&lt;&gt;"-",TEXT(LEVEL101114[[#This Row],[DATE_PR]],"YYYY-MM-DD"),"-")</f>
        <v>2024-04-05</v>
      </c>
      <c r="J8" s="15" t="s">
        <v>584</v>
      </c>
      <c r="K8" s="15" t="str">
        <f>IF(LEVEL101114[[#This Row],[DATE_PO]]&lt;&gt;"-",TEXT(LEVEL101114[[#This Row],[DATE_PO]],"YYYY-MM-DD"),"-")</f>
        <v>2024-06-03</v>
      </c>
      <c r="L8" s="15" t="s">
        <v>584</v>
      </c>
      <c r="M8" s="15" t="str">
        <f>IF(LEVEL101114[[#This Row],[DATE_SHIPPING]]&lt;&gt;"-",TEXT(LEVEL101114[[#This Row],[DATE_SHIPPING]],"YYYY-MM-DD"),"-")</f>
        <v>2024-06-03</v>
      </c>
      <c r="N8" s="34">
        <v>170747</v>
      </c>
      <c r="O8" s="33">
        <v>24000000</v>
      </c>
      <c r="P8" s="5">
        <v>1</v>
      </c>
      <c r="Q8" s="15">
        <v>45453</v>
      </c>
      <c r="R8" s="15" t="str">
        <f>IF(LEVEL101114[[#This Row],[DATE_ACQUISITION]]&lt;&gt;"-",TEXT(LEVEL101114[[#This Row],[DATE_ACQUISITION]],"YYYY-MM-DD"),"-")</f>
        <v>2024-06-10</v>
      </c>
      <c r="S8" s="9" t="str">
        <f>IF(COUNTBLANK(LEVEL101114[[#This Row],[BARCODE]:[CONVACQ]])&gt;0,"VALIDATE [IN PROGRESS]","VALIDATE [DONE]")</f>
        <v>VALIDATE [DONE]</v>
      </c>
      <c r="T8" s="6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('MASHQEQP2400014','EQP-001',240763,'O99','PR/ASR/0424/003','POP/ASR/0524/005','2024-04-05','2024-06-03','2024-06-03',170747,'24000000','1','2024-06-10'),</v>
      </c>
    </row>
    <row r="9" spans="2:20" x14ac:dyDescent="0.25">
      <c r="B9" s="9" t="s">
        <v>559</v>
      </c>
      <c r="C9" s="5" t="s">
        <v>658</v>
      </c>
      <c r="D9" s="5">
        <v>150821</v>
      </c>
      <c r="E9" s="5" t="s">
        <v>293</v>
      </c>
      <c r="F9" s="16" t="s">
        <v>633</v>
      </c>
      <c r="G9" s="16" t="s">
        <v>580</v>
      </c>
      <c r="H9" s="15">
        <v>45236</v>
      </c>
      <c r="I9" s="15" t="str">
        <f>IF(LEVEL101114[[#This Row],[DATE_PR]]&lt;&gt;"-",TEXT(LEVEL101114[[#This Row],[DATE_PR]],"YYYY-MM-DD"),"-")</f>
        <v>2023-11-06</v>
      </c>
      <c r="J9" s="15" t="s">
        <v>585</v>
      </c>
      <c r="K9" s="15" t="str">
        <f>IF(LEVEL101114[[#This Row],[DATE_PO]]&lt;&gt;"-",TEXT(LEVEL101114[[#This Row],[DATE_PO]],"YYYY-MM-DD"),"-")</f>
        <v>2024-10-28</v>
      </c>
      <c r="L9" s="15" t="s">
        <v>585</v>
      </c>
      <c r="M9" s="15" t="str">
        <f>IF(LEVEL101114[[#This Row],[DATE_SHIPPING]]&lt;&gt;"-",TEXT(LEVEL101114[[#This Row],[DATE_SHIPPING]],"YYYY-MM-DD"),"-")</f>
        <v>2024-10-28</v>
      </c>
      <c r="N9" s="34">
        <v>170747</v>
      </c>
      <c r="O9" s="33">
        <v>16550000</v>
      </c>
      <c r="P9" s="5">
        <v>1</v>
      </c>
      <c r="Q9" s="15">
        <v>45600</v>
      </c>
      <c r="R9" s="15" t="str">
        <f>IF(LEVEL101114[[#This Row],[DATE_ACQUISITION]]&lt;&gt;"-",TEXT(LEVEL101114[[#This Row],[DATE_ACQUISITION]],"YYYY-MM-DD"),"-")</f>
        <v>2024-11-04</v>
      </c>
      <c r="S9" s="9" t="str">
        <f>IF(COUNTBLANK(LEVEL101114[[#This Row],[BARCODE]:[CONVACQ]])&gt;0,"VALIDATE [IN PROGRESS]","VALIDATE [DONE]")</f>
        <v>VALIDATE [DONE]</v>
      </c>
      <c r="T9" s="6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('MASHQEQP2400037','EQP-001',150821,'O99','PR/ASR/1123/005','POP/ASR/1024/005','2023-11-06','2024-10-28','2024-10-28',170747,'16550000','1','2024-11-04'),</v>
      </c>
    </row>
    <row r="10" spans="2:20" x14ac:dyDescent="0.25">
      <c r="B10" s="9" t="s">
        <v>560</v>
      </c>
      <c r="C10" s="5" t="s">
        <v>658</v>
      </c>
      <c r="D10" s="5">
        <v>241681</v>
      </c>
      <c r="E10" s="5" t="s">
        <v>293</v>
      </c>
      <c r="F10" s="16" t="s">
        <v>633</v>
      </c>
      <c r="G10" s="16" t="s">
        <v>580</v>
      </c>
      <c r="H10" s="15">
        <v>45236</v>
      </c>
      <c r="I10" s="15" t="str">
        <f>IF(LEVEL101114[[#This Row],[DATE_PR]]&lt;&gt;"-",TEXT(LEVEL101114[[#This Row],[DATE_PR]],"YYYY-MM-DD"),"-")</f>
        <v>2023-11-06</v>
      </c>
      <c r="J10" s="15" t="s">
        <v>585</v>
      </c>
      <c r="K10" s="15" t="str">
        <f>IF(LEVEL101114[[#This Row],[DATE_PO]]&lt;&gt;"-",TEXT(LEVEL101114[[#This Row],[DATE_PO]],"YYYY-MM-DD"),"-")</f>
        <v>2024-10-28</v>
      </c>
      <c r="L10" s="15" t="s">
        <v>585</v>
      </c>
      <c r="M10" s="15" t="str">
        <f>IF(LEVEL101114[[#This Row],[DATE_SHIPPING]]&lt;&gt;"-",TEXT(LEVEL101114[[#This Row],[DATE_SHIPPING]],"YYYY-MM-DD"),"-")</f>
        <v>2024-10-28</v>
      </c>
      <c r="N10" s="34">
        <v>170747</v>
      </c>
      <c r="O10" s="33">
        <v>16550000</v>
      </c>
      <c r="P10" s="5">
        <v>1</v>
      </c>
      <c r="Q10" s="15">
        <v>45600</v>
      </c>
      <c r="R10" s="15" t="str">
        <f>IF(LEVEL101114[[#This Row],[DATE_ACQUISITION]]&lt;&gt;"-",TEXT(LEVEL101114[[#This Row],[DATE_ACQUISITION]],"YYYY-MM-DD"),"-")</f>
        <v>2024-11-04</v>
      </c>
      <c r="S10" s="9" t="str">
        <f>IF(COUNTBLANK(LEVEL101114[[#This Row],[BARCODE]:[CONVACQ]])&gt;0,"VALIDATE [IN PROGRESS]","VALIDATE [DONE]")</f>
        <v>VALIDATE [DONE]</v>
      </c>
      <c r="T10" s="6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('MASHQEQP2400036','EQP-001',241681,'O99','PR/ASR/1123/005','POP/ASR/1024/005','2023-11-06','2024-10-28','2024-10-28',170747,'16550000','1','2024-11-04'),</v>
      </c>
    </row>
    <row r="11" spans="2:20" x14ac:dyDescent="0.25">
      <c r="B11" s="9" t="s">
        <v>561</v>
      </c>
      <c r="C11" s="5" t="s">
        <v>658</v>
      </c>
      <c r="D11" s="5">
        <v>241815</v>
      </c>
      <c r="E11" s="5" t="s">
        <v>293</v>
      </c>
      <c r="F11" s="16" t="s">
        <v>729</v>
      </c>
      <c r="G11" s="16" t="s">
        <v>581</v>
      </c>
      <c r="H11" s="15">
        <v>45568</v>
      </c>
      <c r="I11" s="15" t="str">
        <f>IF(LEVEL101114[[#This Row],[DATE_PR]]&lt;&gt;"-",TEXT(LEVEL101114[[#This Row],[DATE_PR]],"YYYY-MM-DD"),"-")</f>
        <v>2024-10-03</v>
      </c>
      <c r="J11" s="40">
        <v>45598</v>
      </c>
      <c r="K11" s="15" t="str">
        <f>IF(LEVEL101114[[#This Row],[DATE_PO]]&lt;&gt;"-",TEXT(LEVEL101114[[#This Row],[DATE_PO]],"YYYY-MM-DD"),"-")</f>
        <v>2024-11-02</v>
      </c>
      <c r="L11" s="15" t="s">
        <v>586</v>
      </c>
      <c r="M11" s="15" t="str">
        <f>IF(LEVEL101114[[#This Row],[DATE_SHIPPING]]&lt;&gt;"-",TEXT(LEVEL101114[[#This Row],[DATE_SHIPPING]],"YYYY-MM-DD"),"-")</f>
        <v>2024-11-21</v>
      </c>
      <c r="N11" s="34">
        <v>170747</v>
      </c>
      <c r="O11" s="33">
        <v>16550000</v>
      </c>
      <c r="P11" s="5">
        <v>1</v>
      </c>
      <c r="Q11" s="15">
        <v>45619</v>
      </c>
      <c r="R11" s="15" t="str">
        <f>IF(LEVEL101114[[#This Row],[DATE_ACQUISITION]]&lt;&gt;"-",TEXT(LEVEL101114[[#This Row],[DATE_ACQUISITION]],"YYYY-MM-DD"),"-")</f>
        <v>2024-11-23</v>
      </c>
      <c r="S11" s="9" t="str">
        <f>IF(COUNTBLANK(LEVEL101114[[#This Row],[BARCODE]:[CONVACQ]])&gt;0,"VALIDATE [IN PROGRESS]","VALIDATE [DONE]")</f>
        <v>VALIDATE [DONE]</v>
      </c>
      <c r="T11" s="6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('MASHQEQP2400053','EQP-001',241815,'O99','PR/ASR/1024/002','POP/ASR/1124/001','2024-10-03','2024-11-02','2024-11-21',170747,'16550000','1','2024-11-23'),</v>
      </c>
    </row>
    <row r="12" spans="2:20" x14ac:dyDescent="0.25">
      <c r="B12" s="9" t="s">
        <v>562</v>
      </c>
      <c r="C12" s="5" t="s">
        <v>658</v>
      </c>
      <c r="D12" s="5">
        <v>180362</v>
      </c>
      <c r="E12" s="5" t="s">
        <v>293</v>
      </c>
      <c r="F12" s="16" t="s">
        <v>728</v>
      </c>
      <c r="G12" s="16" t="s">
        <v>551</v>
      </c>
      <c r="H12" s="15">
        <v>45955</v>
      </c>
      <c r="I12" s="15" t="str">
        <f>IF(LEVEL101114[[#This Row],[DATE_PR]]&lt;&gt;"-",TEXT(LEVEL101114[[#This Row],[DATE_PR]],"YYYY-MM-DD"),"-")</f>
        <v>2025-10-25</v>
      </c>
      <c r="J12" s="40">
        <v>45985</v>
      </c>
      <c r="K12" s="15" t="str">
        <f>IF(LEVEL101114[[#This Row],[DATE_PO]]&lt;&gt;"-",TEXT(LEVEL101114[[#This Row],[DATE_PO]],"YYYY-MM-DD"),"-")</f>
        <v>2025-11-24</v>
      </c>
      <c r="L12" s="15" t="s">
        <v>587</v>
      </c>
      <c r="M12" s="15" t="str">
        <f>IF(LEVEL101114[[#This Row],[DATE_SHIPPING]]&lt;&gt;"-",TEXT(LEVEL101114[[#This Row],[DATE_SHIPPING]],"YYYY-MM-DD"),"-")</f>
        <v>2024-12-02</v>
      </c>
      <c r="N12" s="34">
        <v>170747</v>
      </c>
      <c r="O12" s="33">
        <v>16550000</v>
      </c>
      <c r="P12" s="5">
        <v>1</v>
      </c>
      <c r="Q12" s="15">
        <v>45630</v>
      </c>
      <c r="R12" s="15" t="str">
        <f>IF(LEVEL101114[[#This Row],[DATE_ACQUISITION]]&lt;&gt;"-",TEXT(LEVEL101114[[#This Row],[DATE_ACQUISITION]],"YYYY-MM-DD"),"-")</f>
        <v>2024-12-04</v>
      </c>
      <c r="S12" s="9" t="str">
        <f>IF(COUNTBLANK(LEVEL101114[[#This Row],[BARCODE]:[CONVACQ]])&gt;0,"VALIDATE [IN PROGRESS]","VALIDATE [DONE]")</f>
        <v>VALIDATE [DONE]</v>
      </c>
      <c r="T12" s="6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('MASHQEQP2400061','EQP-001',180362,'O99','PR/ASR/1024/014','POP/ASR/1124/009','2025-10-25','2025-11-24','2024-12-02',170747,'16550000','1','2024-12-04'),</v>
      </c>
    </row>
    <row r="13" spans="2:20" x14ac:dyDescent="0.25">
      <c r="B13" s="9" t="s">
        <v>563</v>
      </c>
      <c r="C13" s="5" t="s">
        <v>658</v>
      </c>
      <c r="D13" s="5">
        <v>232054</v>
      </c>
      <c r="E13" s="5" t="s">
        <v>293</v>
      </c>
      <c r="F13" s="16" t="s">
        <v>728</v>
      </c>
      <c r="G13" s="16" t="s">
        <v>551</v>
      </c>
      <c r="H13" s="15">
        <v>45955</v>
      </c>
      <c r="I13" s="15" t="str">
        <f>IF(LEVEL101114[[#This Row],[DATE_PR]]&lt;&gt;"-",TEXT(LEVEL101114[[#This Row],[DATE_PR]],"YYYY-MM-DD"),"-")</f>
        <v>2025-10-25</v>
      </c>
      <c r="J13" s="40">
        <v>45985</v>
      </c>
      <c r="K13" s="15" t="str">
        <f>IF(LEVEL101114[[#This Row],[DATE_PO]]&lt;&gt;"-",TEXT(LEVEL101114[[#This Row],[DATE_PO]],"YYYY-MM-DD"),"-")</f>
        <v>2025-11-24</v>
      </c>
      <c r="L13" s="15" t="s">
        <v>587</v>
      </c>
      <c r="M13" s="15" t="str">
        <f>IF(LEVEL101114[[#This Row],[DATE_SHIPPING]]&lt;&gt;"-",TEXT(LEVEL101114[[#This Row],[DATE_SHIPPING]],"YYYY-MM-DD"),"-")</f>
        <v>2024-12-02</v>
      </c>
      <c r="N13" s="34">
        <v>170747</v>
      </c>
      <c r="O13" s="33">
        <v>16550000</v>
      </c>
      <c r="P13" s="5">
        <v>1</v>
      </c>
      <c r="Q13" s="15">
        <v>45630</v>
      </c>
      <c r="R13" s="15" t="str">
        <f>IF(LEVEL101114[[#This Row],[DATE_ACQUISITION]]&lt;&gt;"-",TEXT(LEVEL101114[[#This Row],[DATE_ACQUISITION]],"YYYY-MM-DD"),"-")</f>
        <v>2024-12-04</v>
      </c>
      <c r="S13" s="9" t="str">
        <f>IF(COUNTBLANK(LEVEL101114[[#This Row],[BARCODE]:[CONVACQ]])&gt;0,"VALIDATE [IN PROGRESS]","VALIDATE [DONE]")</f>
        <v>VALIDATE [DONE]</v>
      </c>
      <c r="T13" s="6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('MASHQEQP2400062','EQP-001',232054,'O99','PR/ASR/1024/014','POP/ASR/1124/009','2025-10-25','2025-11-24','2024-12-02',170747,'16550000','1','2024-12-04'),</v>
      </c>
    </row>
    <row r="14" spans="2:20" x14ac:dyDescent="0.25">
      <c r="B14" s="9" t="s">
        <v>550</v>
      </c>
      <c r="C14" s="5" t="s">
        <v>658</v>
      </c>
      <c r="D14" s="5">
        <v>221489</v>
      </c>
      <c r="E14" s="5" t="s">
        <v>293</v>
      </c>
      <c r="F14" s="16" t="s">
        <v>728</v>
      </c>
      <c r="G14" s="16" t="s">
        <v>551</v>
      </c>
      <c r="H14" s="15">
        <v>45955</v>
      </c>
      <c r="I14" s="15" t="str">
        <f>IF(LEVEL101114[[#This Row],[DATE_PR]]&lt;&gt;"-",TEXT(LEVEL101114[[#This Row],[DATE_PR]],"YYYY-MM-DD"),"-")</f>
        <v>2025-10-25</v>
      </c>
      <c r="J14" s="40">
        <v>45985</v>
      </c>
      <c r="K14" s="15" t="str">
        <f>IF(LEVEL101114[[#This Row],[DATE_PO]]&lt;&gt;"-",TEXT(LEVEL101114[[#This Row],[DATE_PO]],"YYYY-MM-DD"),"-")</f>
        <v>2025-11-24</v>
      </c>
      <c r="L14" s="15" t="s">
        <v>587</v>
      </c>
      <c r="M14" s="15" t="str">
        <f>IF(LEVEL101114[[#This Row],[DATE_SHIPPING]]&lt;&gt;"-",TEXT(LEVEL101114[[#This Row],[DATE_SHIPPING]],"YYYY-MM-DD"),"-")</f>
        <v>2024-12-02</v>
      </c>
      <c r="N14" s="34">
        <v>170747</v>
      </c>
      <c r="O14" s="33">
        <v>16550000</v>
      </c>
      <c r="P14" s="5">
        <v>1</v>
      </c>
      <c r="Q14" s="15">
        <v>45630</v>
      </c>
      <c r="R14" s="15" t="str">
        <f>IF(LEVEL101114[[#This Row],[DATE_ACQUISITION]]&lt;&gt;"-",TEXT(LEVEL101114[[#This Row],[DATE_ACQUISITION]],"YYYY-MM-DD"),"-")</f>
        <v>2024-12-04</v>
      </c>
      <c r="S14" s="9" t="str">
        <f>IF(COUNTBLANK(LEVEL101114[[#This Row],[BARCODE]:[CONVACQ]])&gt;0,"VALIDATE [IN PROGRESS]","VALIDATE [DONE]")</f>
        <v>VALIDATE [DONE]</v>
      </c>
      <c r="T14" s="6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('MASHQEQP2400063','EQP-001',221489,'O99','PR/ASR/1024/014','POP/ASR/1124/009','2025-10-25','2025-11-24','2024-12-02',170747,'16550000','1','2024-12-04'),</v>
      </c>
    </row>
    <row r="15" spans="2:20" x14ac:dyDescent="0.25">
      <c r="B15" s="9" t="s">
        <v>564</v>
      </c>
      <c r="C15" s="5" t="s">
        <v>658</v>
      </c>
      <c r="D15" s="5">
        <v>231399</v>
      </c>
      <c r="E15" s="5" t="s">
        <v>293</v>
      </c>
      <c r="F15" s="45" t="s">
        <v>746</v>
      </c>
      <c r="G15" s="45" t="s">
        <v>582</v>
      </c>
      <c r="H15" s="40">
        <v>36526</v>
      </c>
      <c r="I15" s="15" t="str">
        <f>IF(LEVEL101114[[#This Row],[DATE_PR]]&lt;&gt;"-",TEXT(LEVEL101114[[#This Row],[DATE_PR]],"YYYY-MM-DD"),"-")</f>
        <v>2000-01-01</v>
      </c>
      <c r="J15" s="40">
        <v>36526</v>
      </c>
      <c r="K15" s="15" t="str">
        <f>IF(LEVEL101114[[#This Row],[DATE_PO]]&lt;&gt;"-",TEXT(LEVEL101114[[#This Row],[DATE_PO]],"YYYY-MM-DD"),"-")</f>
        <v>2000-01-01</v>
      </c>
      <c r="L15" s="15" t="s">
        <v>588</v>
      </c>
      <c r="M15" s="15" t="str">
        <f>IF(LEVEL101114[[#This Row],[DATE_SHIPPING]]&lt;&gt;"-",TEXT(LEVEL101114[[#This Row],[DATE_SHIPPING]],"YYYY-MM-DD"),"-")</f>
        <v>2024-12-09</v>
      </c>
      <c r="N15" s="47">
        <v>170747</v>
      </c>
      <c r="O15" s="46">
        <v>15000000</v>
      </c>
      <c r="P15" s="5">
        <v>1</v>
      </c>
      <c r="Q15" s="40" t="s">
        <v>748</v>
      </c>
      <c r="R15" s="15" t="str">
        <f>IF(LEVEL101114[[#This Row],[DATE_ACQUISITION]]&lt;&gt;"-",TEXT(LEVEL101114[[#This Row],[DATE_ACQUISITION]],"YYYY-MM-DD"),"-")</f>
        <v>2000-01-01</v>
      </c>
      <c r="S15" s="9" t="str">
        <f>IF(COUNTBLANK(LEVEL101114[[#This Row],[BARCODE]:[CONVACQ]])&gt;0,"VALIDATE [IN PROGRESS]","VALIDATE [DONE]")</f>
        <v>VALIDATE [DONE]</v>
      </c>
      <c r="T15" s="1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('MASHQEQP2400066','EQP-001',231399,'O99','PR/XXX/0000/000','POP/ASR/1024/003','2000-01-01','2000-01-01','2024-12-09',170747,'15000000','1','2000-01-01'),</v>
      </c>
    </row>
    <row r="16" spans="2:20" x14ac:dyDescent="0.25">
      <c r="B16" s="48" t="s">
        <v>749</v>
      </c>
      <c r="C16" s="5" t="s">
        <v>658</v>
      </c>
      <c r="D16" s="5">
        <v>220909</v>
      </c>
      <c r="E16" s="5" t="s">
        <v>293</v>
      </c>
      <c r="F16" s="45" t="s">
        <v>746</v>
      </c>
      <c r="G16" s="45" t="s">
        <v>747</v>
      </c>
      <c r="H16" s="40">
        <v>36526</v>
      </c>
      <c r="I16" s="15" t="str">
        <f>IF(LEVEL101114[[#This Row],[DATE_PR]]&lt;&gt;"-",TEXT(LEVEL101114[[#This Row],[DATE_PR]],"YYYY-MM-DD"),"-")</f>
        <v>2000-01-01</v>
      </c>
      <c r="J16" s="40">
        <v>36526</v>
      </c>
      <c r="K16" s="15" t="str">
        <f>IF(LEVEL101114[[#This Row],[DATE_PO]]&lt;&gt;"-",TEXT(LEVEL101114[[#This Row],[DATE_PO]],"YYYY-MM-DD"),"-")</f>
        <v>2000-01-01</v>
      </c>
      <c r="L16" s="40">
        <v>36526</v>
      </c>
      <c r="M16" s="15" t="str">
        <f>IF(LEVEL101114[[#This Row],[DATE_SHIPPING]]&lt;&gt;"-",TEXT(LEVEL101114[[#This Row],[DATE_SHIPPING]],"YYYY-MM-DD"),"-")</f>
        <v>2000-01-01</v>
      </c>
      <c r="N16" s="47">
        <v>170747</v>
      </c>
      <c r="O16" s="46">
        <v>15000000</v>
      </c>
      <c r="P16" s="5">
        <v>1</v>
      </c>
      <c r="Q16" s="40" t="s">
        <v>748</v>
      </c>
      <c r="R16" s="15" t="str">
        <f>IF(LEVEL101114[[#This Row],[DATE_ACQUISITION]]&lt;&gt;"-",TEXT(LEVEL101114[[#This Row],[DATE_ACQUISITION]],"YYYY-MM-DD"),"-")</f>
        <v>2000-01-01</v>
      </c>
      <c r="S16" s="9" t="str">
        <f>IF(COUNTBLANK(LEVEL101114[[#This Row],[BARCODE]:[CONVACQ]])&gt;0,"VALIDATE [IN PROGRESS]","VALIDATE [DONE]")</f>
        <v>VALIDATE [DONE]</v>
      </c>
      <c r="T16" s="1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('MASHQEQP2000001','EQP-001',220909,'O99','PR/XXX/0000/000','POP/XXX/0000/000','2000-01-01','2000-01-01','2000-01-01',170747,'15000000','1','2000-01-01'),</v>
      </c>
    </row>
    <row r="17" spans="2:20" x14ac:dyDescent="0.25">
      <c r="B17" s="9" t="s">
        <v>737</v>
      </c>
      <c r="C17" s="5" t="s">
        <v>658</v>
      </c>
      <c r="D17" s="5">
        <v>999999</v>
      </c>
      <c r="E17" s="5" t="s">
        <v>292</v>
      </c>
      <c r="F17" s="45" t="s">
        <v>746</v>
      </c>
      <c r="G17" s="45" t="s">
        <v>747</v>
      </c>
      <c r="H17" s="40">
        <v>36526</v>
      </c>
      <c r="I17" s="15" t="str">
        <f>IF(LEVEL101114[[#This Row],[DATE_PR]]&lt;&gt;"-",TEXT(LEVEL101114[[#This Row],[DATE_PR]],"YYYY-MM-DD"),"-")</f>
        <v>2000-01-01</v>
      </c>
      <c r="J17" s="40">
        <v>36526</v>
      </c>
      <c r="K17" s="15" t="str">
        <f>IF(LEVEL101114[[#This Row],[DATE_PO]]&lt;&gt;"-",TEXT(LEVEL101114[[#This Row],[DATE_PO]],"YYYY-MM-DD"),"-")</f>
        <v>2000-01-01</v>
      </c>
      <c r="L17" s="40">
        <v>36526</v>
      </c>
      <c r="M17" s="15" t="str">
        <f>IF(LEVEL101114[[#This Row],[DATE_SHIPPING]]&lt;&gt;"-",TEXT(LEVEL101114[[#This Row],[DATE_SHIPPING]],"YYYY-MM-DD"),"-")</f>
        <v>2000-01-01</v>
      </c>
      <c r="N17" s="47">
        <v>170747</v>
      </c>
      <c r="O17" s="46">
        <v>15000000</v>
      </c>
      <c r="P17" s="5">
        <v>1</v>
      </c>
      <c r="Q17" s="40" t="s">
        <v>748</v>
      </c>
      <c r="R17" s="15" t="str">
        <f>IF(LEVEL101114[[#This Row],[DATE_ACQUISITION]]&lt;&gt;"-",TEXT(LEVEL101114[[#This Row],[DATE_ACQUISITION]],"YYYY-MM-DD"),"-")</f>
        <v>2000-01-01</v>
      </c>
      <c r="S17" s="9" t="str">
        <f>IF(COUNTBLANK(LEVEL101114[[#This Row],[BARCODE]:[CONVACQ]])&gt;0,"VALIDATE [IN PROGRESS]","VALIDATE [DONE]")</f>
        <v>VALIDATE [DONE]</v>
      </c>
      <c r="T17" s="1" t="str">
        <f>"('"&amp;LEVEL101114[[#This Row],[BARCODE]]&amp;"','"&amp;
LEVEL101114[[#This Row],[CODE_ITEM]]&amp;"',"&amp;
LEVEL101114[[#This Row],[OWNER_CODE]]&amp;",'"&amp;
LEVEL101114[[#This Row],[ID_SITE]]&amp;"','"&amp;
LEVEL101114[[#This Row],[NO_PR]]&amp;"','"&amp;
LEVEL101114[[#This Row],[NO_PO]]&amp;"','"&amp;
LEVEL101114[[#This Row],[CONVDPR]]&amp;"','"&amp;
LEVEL101114[[#This Row],[CONVPO]]&amp;"','"&amp;
LEVEL101114[[#This Row],[CONVSHP]]&amp;"',"&amp;
LEVEL101114[[#This Row],[RECIPIENT]]&amp;",'"&amp;
LEVEL101114[[#This Row],[PRICE]]&amp;"','"&amp;
LEVEL101114[[#This Row],[QTY]]&amp;"','"&amp;
LEVEL101114[[#This Row],[CONVACQ]]&amp;"'),"</f>
        <v>('MOEQPLPT1020006','EQP-001',999999,'M02','PR/XXX/0000/000','POP/XXX/0000/000','2000-01-01','2000-01-01','2000-01-01',170747,'15000000','1','2000-01-01'),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AEEE-76C0-4ED2-A3FA-0F506F69B929}">
  <dimension ref="B4:E21"/>
  <sheetViews>
    <sheetView zoomScale="85" zoomScaleNormal="85" workbookViewId="0">
      <selection activeCell="E25" sqref="E25"/>
    </sheetView>
  </sheetViews>
  <sheetFormatPr defaultRowHeight="15" x14ac:dyDescent="0.25"/>
  <cols>
    <col min="1" max="1" width="2.7109375" customWidth="1"/>
    <col min="2" max="2" width="15.5703125" bestFit="1" customWidth="1"/>
    <col min="3" max="3" width="11.7109375" bestFit="1" customWidth="1"/>
    <col min="4" max="4" width="17" bestFit="1" customWidth="1"/>
    <col min="5" max="5" width="64.7109375" bestFit="1" customWidth="1"/>
  </cols>
  <sheetData>
    <row r="4" spans="2:5" x14ac:dyDescent="0.25">
      <c r="B4" s="3" t="s">
        <v>657</v>
      </c>
      <c r="C4" s="3" t="s">
        <v>338</v>
      </c>
      <c r="D4" s="3" t="s">
        <v>493</v>
      </c>
      <c r="E4" s="3" t="s">
        <v>302</v>
      </c>
    </row>
    <row r="5" spans="2:5" x14ac:dyDescent="0.25">
      <c r="B5" s="5" t="s">
        <v>658</v>
      </c>
      <c r="C5" s="16" t="s">
        <v>498</v>
      </c>
      <c r="D5" s="16" t="s">
        <v>679</v>
      </c>
      <c r="E5" s="1" t="str">
        <f>"('"&amp;LEVEL101115[[#This Row],[CODE_ITEM]]&amp;"','"&amp;LEVEL101115[[#This Row],[TYPE]]&amp;"','"&amp;
LEVEL101115[[#This Row],[CATEGORY]]&amp;"'),"</f>
        <v>('EQP-001','LAPTOP','EQUIPMENT'),</v>
      </c>
    </row>
    <row r="6" spans="2:5" x14ac:dyDescent="0.25">
      <c r="B6" s="4" t="s">
        <v>660</v>
      </c>
      <c r="C6" s="17" t="s">
        <v>676</v>
      </c>
      <c r="D6" s="17" t="s">
        <v>679</v>
      </c>
      <c r="E6" s="1" t="str">
        <f>"('"&amp;LEVEL101115[[#This Row],[CODE_ITEM]]&amp;"','"&amp;LEVEL101115[[#This Row],[TYPE]]&amp;"','"&amp;
LEVEL101115[[#This Row],[CATEGORY]]&amp;"'),"</f>
        <v>('EQP-002','PC DESKTOP','EQUIPMENT'),</v>
      </c>
    </row>
    <row r="7" spans="2:5" x14ac:dyDescent="0.25">
      <c r="B7" s="4" t="s">
        <v>661</v>
      </c>
      <c r="C7" s="17" t="s">
        <v>677</v>
      </c>
      <c r="D7" s="17" t="s">
        <v>679</v>
      </c>
      <c r="E7" s="1" t="str">
        <f>"('"&amp;LEVEL101115[[#This Row],[CODE_ITEM]]&amp;"','"&amp;LEVEL101115[[#This Row],[TYPE]]&amp;"','"&amp;
LEVEL101115[[#This Row],[CATEGORY]]&amp;"'),"</f>
        <v>('EQP-003','DESKTOP','EQUIPMENT'),</v>
      </c>
    </row>
    <row r="8" spans="2:5" x14ac:dyDescent="0.25">
      <c r="B8" s="4" t="s">
        <v>662</v>
      </c>
      <c r="C8" s="17" t="s">
        <v>678</v>
      </c>
      <c r="D8" s="17" t="s">
        <v>679</v>
      </c>
      <c r="E8" s="1" t="str">
        <f>"('"&amp;LEVEL101115[[#This Row],[CODE_ITEM]]&amp;"','"&amp;LEVEL101115[[#This Row],[TYPE]]&amp;"','"&amp;
LEVEL101115[[#This Row],[CATEGORY]]&amp;"'),"</f>
        <v>('EQP-004','SERVER','EQUIPMENT'),</v>
      </c>
    </row>
    <row r="9" spans="2:5" x14ac:dyDescent="0.25">
      <c r="B9" s="4" t="s">
        <v>663</v>
      </c>
      <c r="C9" s="17"/>
      <c r="D9" s="17"/>
      <c r="E9" s="1" t="str">
        <f>"('"&amp;LEVEL101115[[#This Row],[CODE_ITEM]]&amp;"','"&amp;LEVEL101115[[#This Row],[TYPE]]&amp;"','"&amp;
LEVEL101115[[#This Row],[CATEGORY]]&amp;"'),"</f>
        <v>('EQP-005','',''),</v>
      </c>
    </row>
    <row r="10" spans="2:5" x14ac:dyDescent="0.25">
      <c r="B10" s="4" t="s">
        <v>664</v>
      </c>
      <c r="C10" s="17"/>
      <c r="D10" s="17"/>
      <c r="E10" s="1" t="str">
        <f>"('"&amp;LEVEL101115[[#This Row],[CODE_ITEM]]&amp;"','"&amp;LEVEL101115[[#This Row],[TYPE]]&amp;"','"&amp;
LEVEL101115[[#This Row],[CATEGORY]]&amp;"'),"</f>
        <v>('EQP-006','',''),</v>
      </c>
    </row>
    <row r="11" spans="2:5" x14ac:dyDescent="0.25">
      <c r="B11" s="4" t="s">
        <v>665</v>
      </c>
      <c r="C11" s="17"/>
      <c r="D11" s="17"/>
      <c r="E11" s="1" t="str">
        <f>"('"&amp;LEVEL101115[[#This Row],[CODE_ITEM]]&amp;"','"&amp;LEVEL101115[[#This Row],[TYPE]]&amp;"','"&amp;
LEVEL101115[[#This Row],[CATEGORY]]&amp;"'),"</f>
        <v>('EQP-007','',''),</v>
      </c>
    </row>
    <row r="12" spans="2:5" x14ac:dyDescent="0.25">
      <c r="B12" s="4" t="s">
        <v>666</v>
      </c>
      <c r="C12" s="17"/>
      <c r="D12" s="17"/>
      <c r="E12" s="1" t="str">
        <f>"('"&amp;LEVEL101115[[#This Row],[CODE_ITEM]]&amp;"','"&amp;LEVEL101115[[#This Row],[TYPE]]&amp;"','"&amp;
LEVEL101115[[#This Row],[CATEGORY]]&amp;"'),"</f>
        <v>('EQP-008','',''),</v>
      </c>
    </row>
    <row r="13" spans="2:5" x14ac:dyDescent="0.25">
      <c r="B13" s="4" t="s">
        <v>667</v>
      </c>
      <c r="C13" s="17"/>
      <c r="D13" s="17"/>
      <c r="E13" s="1" t="str">
        <f>"('"&amp;LEVEL101115[[#This Row],[CODE_ITEM]]&amp;"','"&amp;LEVEL101115[[#This Row],[TYPE]]&amp;"','"&amp;
LEVEL101115[[#This Row],[CATEGORY]]&amp;"'),"</f>
        <v>('EQP-009','',''),</v>
      </c>
    </row>
    <row r="14" spans="2:5" x14ac:dyDescent="0.25">
      <c r="B14" s="4" t="s">
        <v>668</v>
      </c>
      <c r="C14" s="17"/>
      <c r="D14" s="17"/>
      <c r="E14" s="1" t="str">
        <f>"('"&amp;LEVEL101115[[#This Row],[CODE_ITEM]]&amp;"','"&amp;LEVEL101115[[#This Row],[TYPE]]&amp;"','"&amp;
LEVEL101115[[#This Row],[CATEGORY]]&amp;"'),"</f>
        <v>('EQP-010','',''),</v>
      </c>
    </row>
    <row r="15" spans="2:5" x14ac:dyDescent="0.25">
      <c r="B15" s="4" t="s">
        <v>669</v>
      </c>
      <c r="C15" s="17"/>
      <c r="D15" s="17"/>
      <c r="E15" s="1" t="str">
        <f>"('"&amp;LEVEL101115[[#This Row],[CODE_ITEM]]&amp;"','"&amp;LEVEL101115[[#This Row],[TYPE]]&amp;"','"&amp;
LEVEL101115[[#This Row],[CATEGORY]]&amp;"'),"</f>
        <v>('EQP-011','',''),</v>
      </c>
    </row>
    <row r="16" spans="2:5" x14ac:dyDescent="0.25">
      <c r="B16" s="4" t="s">
        <v>670</v>
      </c>
      <c r="C16" s="17"/>
      <c r="D16" s="17"/>
      <c r="E16" s="1" t="str">
        <f>"('"&amp;LEVEL101115[[#This Row],[CODE_ITEM]]&amp;"','"&amp;LEVEL101115[[#This Row],[TYPE]]&amp;"','"&amp;
LEVEL101115[[#This Row],[CATEGORY]]&amp;"'),"</f>
        <v>('EQP-012','',''),</v>
      </c>
    </row>
    <row r="17" spans="2:5" x14ac:dyDescent="0.25">
      <c r="B17" s="4" t="s">
        <v>671</v>
      </c>
      <c r="C17" s="17"/>
      <c r="D17" s="17"/>
      <c r="E17" s="1" t="str">
        <f>"('"&amp;LEVEL101115[[#This Row],[CODE_ITEM]]&amp;"','"&amp;LEVEL101115[[#This Row],[TYPE]]&amp;"','"&amp;
LEVEL101115[[#This Row],[CATEGORY]]&amp;"'),"</f>
        <v>('EQP-013','',''),</v>
      </c>
    </row>
    <row r="18" spans="2:5" x14ac:dyDescent="0.25">
      <c r="B18" s="4" t="s">
        <v>672</v>
      </c>
      <c r="C18" s="17"/>
      <c r="D18" s="17"/>
      <c r="E18" s="1" t="str">
        <f>"('"&amp;LEVEL101115[[#This Row],[CODE_ITEM]]&amp;"','"&amp;LEVEL101115[[#This Row],[TYPE]]&amp;"','"&amp;
LEVEL101115[[#This Row],[CATEGORY]]&amp;"'),"</f>
        <v>('EQP-014','',''),</v>
      </c>
    </row>
    <row r="19" spans="2:5" x14ac:dyDescent="0.25">
      <c r="B19" s="4" t="s">
        <v>673</v>
      </c>
      <c r="C19" s="17"/>
      <c r="D19" s="17"/>
      <c r="E19" s="1" t="str">
        <f>"('"&amp;LEVEL101115[[#This Row],[CODE_ITEM]]&amp;"','"&amp;LEVEL101115[[#This Row],[TYPE]]&amp;"','"&amp;
LEVEL101115[[#This Row],[CATEGORY]]&amp;"'),"</f>
        <v>('EQP-015','',''),</v>
      </c>
    </row>
    <row r="20" spans="2:5" x14ac:dyDescent="0.25">
      <c r="B20" s="4" t="s">
        <v>674</v>
      </c>
      <c r="C20" s="17"/>
      <c r="D20" s="17"/>
      <c r="E20" s="1" t="str">
        <f>"('"&amp;LEVEL101115[[#This Row],[CODE_ITEM]]&amp;"','"&amp;LEVEL101115[[#This Row],[TYPE]]&amp;"','"&amp;
LEVEL101115[[#This Row],[CATEGORY]]&amp;"'),"</f>
        <v>('EQP-016','',''),</v>
      </c>
    </row>
    <row r="21" spans="2:5" x14ac:dyDescent="0.25">
      <c r="B21" s="4" t="s">
        <v>675</v>
      </c>
      <c r="C21" s="17"/>
      <c r="D21" s="17"/>
      <c r="E21" s="1" t="str">
        <f>"('"&amp;LEVEL101115[[#This Row],[CODE_ITEM]]&amp;"','"&amp;LEVEL101115[[#This Row],[TYPE]]&amp;"','"&amp;
LEVEL101115[[#This Row],[CATEGORY]]&amp;"'),"</f>
        <v>('EQP-017','',''),</v>
      </c>
    </row>
  </sheetData>
  <phoneticPr fontId="3" type="noConversion"/>
  <conditionalFormatting sqref="B5:C2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76B4-8B89-4270-B99C-31CF1DB7614A}">
  <sheetPr codeName="Sheet11"/>
  <dimension ref="B5:K27"/>
  <sheetViews>
    <sheetView showGridLines="0" zoomScale="85" zoomScaleNormal="85" workbookViewId="0">
      <selection activeCell="F35" sqref="F35"/>
    </sheetView>
  </sheetViews>
  <sheetFormatPr defaultColWidth="8.85546875" defaultRowHeight="15" x14ac:dyDescent="0.25"/>
  <cols>
    <col min="1" max="1" width="2.7109375" customWidth="1"/>
    <col min="2" max="2" width="12" bestFit="1" customWidth="1"/>
    <col min="3" max="3" width="21.5703125" bestFit="1" customWidth="1"/>
    <col min="4" max="4" width="19.7109375" bestFit="1" customWidth="1"/>
    <col min="5" max="5" width="25.140625" bestFit="1" customWidth="1"/>
    <col min="6" max="6" width="12.5703125" bestFit="1" customWidth="1"/>
    <col min="7" max="8" width="13.140625" bestFit="1" customWidth="1"/>
    <col min="9" max="9" width="123.140625" bestFit="1" customWidth="1"/>
    <col min="10" max="10" width="39.5703125" bestFit="1" customWidth="1"/>
    <col min="11" max="11" width="228.85546875" bestFit="1" customWidth="1"/>
  </cols>
  <sheetData>
    <row r="5" spans="2:11" s="27" customFormat="1" ht="12.75" x14ac:dyDescent="0.25"/>
    <row r="6" spans="2:11" x14ac:dyDescent="0.25">
      <c r="B6" s="19" t="s">
        <v>5</v>
      </c>
      <c r="C6" s="20" t="s">
        <v>466</v>
      </c>
      <c r="D6" s="20" t="s">
        <v>6</v>
      </c>
      <c r="E6" s="20" t="s">
        <v>467</v>
      </c>
      <c r="F6" s="20" t="s">
        <v>385</v>
      </c>
      <c r="G6" s="20" t="s">
        <v>386</v>
      </c>
      <c r="H6" s="20" t="s">
        <v>387</v>
      </c>
      <c r="I6" s="20" t="s">
        <v>388</v>
      </c>
      <c r="J6" s="20" t="s">
        <v>389</v>
      </c>
      <c r="K6" s="21" t="s">
        <v>302</v>
      </c>
    </row>
    <row r="7" spans="2:11" x14ac:dyDescent="0.25">
      <c r="B7" s="22" t="s">
        <v>390</v>
      </c>
      <c r="C7" s="13" t="s">
        <v>391</v>
      </c>
      <c r="D7" s="13" t="s">
        <v>392</v>
      </c>
      <c r="E7" s="13" t="s">
        <v>471</v>
      </c>
      <c r="F7" s="13" t="s">
        <v>393</v>
      </c>
      <c r="G7" s="13" t="s">
        <v>394</v>
      </c>
      <c r="H7" s="13" t="s">
        <v>395</v>
      </c>
      <c r="I7" s="13" t="s">
        <v>396</v>
      </c>
      <c r="J7" s="13" t="s">
        <v>397</v>
      </c>
      <c r="K7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('A01','Taman Anggrek Residence','Apartement','PT. AMA','Indonesia','Jakarta','Jakarta Barat','Jl. Tj. Duren Timur 2 No.12, RT.12/RW.1, Tj. Duren Sel., Kec. Grogol petamburan, Kota Jakarta Barat, Daerah Khusus Ibukota Jakarta 11470','https://maps.app.goo.gl/RczWGcAEpFTuXA6G7'),</v>
      </c>
    </row>
    <row r="8" spans="2:11" x14ac:dyDescent="0.25">
      <c r="B8" s="22" t="s">
        <v>398</v>
      </c>
      <c r="C8" s="13" t="s">
        <v>399</v>
      </c>
      <c r="D8" s="13" t="s">
        <v>392</v>
      </c>
      <c r="E8" s="13" t="s">
        <v>476</v>
      </c>
      <c r="F8" s="13" t="s">
        <v>393</v>
      </c>
      <c r="G8" s="13" t="s">
        <v>394</v>
      </c>
      <c r="H8" s="13" t="s">
        <v>400</v>
      </c>
      <c r="I8" s="13" t="s">
        <v>401</v>
      </c>
      <c r="J8" s="13" t="s">
        <v>402</v>
      </c>
      <c r="K8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('A02','Fatmawati City Center','Apartement','PT. KAM','Indonesia','Jakarta','Jakarta Selatan','Jl. Fatmawati Raya, RT.3/RW.9, Cilandak Bar., Kec. Cilandak, Kota Jakarta Selatan, Daerah Khusus Ibukota Jakarta 12430','https://maps.app.goo.gl/cZ7XNNiT6Kxgmu7f7'),</v>
      </c>
    </row>
    <row r="9" spans="2:11" x14ac:dyDescent="0.25">
      <c r="B9" s="22" t="s">
        <v>403</v>
      </c>
      <c r="C9" s="13" t="s">
        <v>404</v>
      </c>
      <c r="D9" s="13" t="s">
        <v>392</v>
      </c>
      <c r="E9" s="13" t="s">
        <v>472</v>
      </c>
      <c r="F9" s="13" t="s">
        <v>393</v>
      </c>
      <c r="G9" s="13" t="s">
        <v>394</v>
      </c>
      <c r="H9" s="13" t="s">
        <v>405</v>
      </c>
      <c r="I9" s="13" t="s">
        <v>406</v>
      </c>
      <c r="J9" s="13" t="s">
        <v>407</v>
      </c>
      <c r="K9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('A03','Menara Jakarta','Apartement','PT. PPP','Indonesia','Jakarta','Jakarta Utara','Arena Pekan Raya Jkt - Kemayoran, Jl. H. Benyamin Sueb No.10, RW.10, Gn. Sahari Sel., Kec. Kemayoran, Jkt Utara, Daerah Khusus Ibukota Jakarta 14410','https://maps.app.goo.gl/nmdtJgPT3FR2HnWU6'),</v>
      </c>
    </row>
    <row r="10" spans="2:11" hidden="1" x14ac:dyDescent="0.25">
      <c r="B10" s="22" t="s">
        <v>408</v>
      </c>
      <c r="C10" s="13" t="s">
        <v>409</v>
      </c>
      <c r="D10" s="13" t="s">
        <v>392</v>
      </c>
      <c r="E10" s="13"/>
      <c r="F10" s="13" t="s">
        <v>393</v>
      </c>
      <c r="G10" s="13" t="s">
        <v>394</v>
      </c>
      <c r="H10" s="13" t="s">
        <v>405</v>
      </c>
      <c r="I10" s="13" t="s">
        <v>410</v>
      </c>
      <c r="J10" s="13" t="s">
        <v>411</v>
      </c>
      <c r="K10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('A04','French Walk','Apartement','','Indonesia','Jakarta','Jakarta Utara','Kelapa Gading Barat, Kelapa Gading, RT.18/RW.8, RT.18/RW.8, Klp. Gading Bar., Jakarta Utara, Jkt Utara, Daerah Khusus Ibukota Jakarta 14240','https://maps.app.goo.gl/pbEgWFSERS9ka2n28'),</v>
      </c>
    </row>
    <row r="11" spans="2:11" x14ac:dyDescent="0.25">
      <c r="B11" s="22" t="s">
        <v>412</v>
      </c>
      <c r="C11" s="13" t="s">
        <v>413</v>
      </c>
      <c r="D11" s="13" t="s">
        <v>414</v>
      </c>
      <c r="E11" s="13"/>
      <c r="F11" s="13" t="s">
        <v>393</v>
      </c>
      <c r="G11" s="13" t="s">
        <v>394</v>
      </c>
      <c r="H11" s="13" t="s">
        <v>405</v>
      </c>
      <c r="I11" s="13" t="s">
        <v>415</v>
      </c>
      <c r="J11" s="13" t="s">
        <v>416</v>
      </c>
      <c r="K11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('F01','FLIX PIK','Cinema','','Indonesia','Jakarta','Jakarta Utara','Pantai Indah Kapuk St Boulevard, RT.6/RW.2, Kamal Muara, Penjaringan, North Jakarta City, Jakarta 14470','https://maps.app.goo.gl/y1gkFm9bwuNjVQe2A'),</v>
      </c>
    </row>
    <row r="12" spans="2:11" x14ac:dyDescent="0.25">
      <c r="B12" s="22" t="s">
        <v>417</v>
      </c>
      <c r="C12" s="13" t="s">
        <v>418</v>
      </c>
      <c r="D12" s="13" t="s">
        <v>414</v>
      </c>
      <c r="E12" s="13"/>
      <c r="F12" s="13" t="s">
        <v>393</v>
      </c>
      <c r="G12" s="13" t="s">
        <v>394</v>
      </c>
      <c r="H12" s="13" t="s">
        <v>405</v>
      </c>
      <c r="I12" s="13" t="s">
        <v>419</v>
      </c>
      <c r="J12" s="13" t="s">
        <v>420</v>
      </c>
      <c r="K12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('F02','FLIX MOI','Cinema','','Indonesia','Jakarta','Jakarta Utara','Jl. Boulevard Bar. Raya No.12, RT.18/RW.19, Klp. Gading Bar., Kec. Klp. Gading, Jkt Utara, Daerah Khusus Ibukota Jakarta 14240','https://maps.app.goo.gl/CDafTWd9qFpdTmW67'),</v>
      </c>
    </row>
    <row r="13" spans="2:11" x14ac:dyDescent="0.25">
      <c r="B13" s="22" t="s">
        <v>421</v>
      </c>
      <c r="C13" s="13" t="s">
        <v>422</v>
      </c>
      <c r="D13" s="13" t="s">
        <v>414</v>
      </c>
      <c r="E13" s="13"/>
      <c r="F13" s="13" t="s">
        <v>393</v>
      </c>
      <c r="G13" s="13" t="s">
        <v>394</v>
      </c>
      <c r="H13" s="13" t="s">
        <v>423</v>
      </c>
      <c r="I13" s="13" t="s">
        <v>424</v>
      </c>
      <c r="J13" s="13" t="s">
        <v>425</v>
      </c>
      <c r="K13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('F03','FLIX GGP','Cinema','','Indonesia','Jakarta','Bekasi Selatan','Jl. Boulevard Raya No.1, RT.003/RW.017, Jaka Setia, Kec. Bekasi Sel., Kota Bks, Jawa Barat 17147','https://maps.app.goo.gl/8VVfF28Grsr9G2mU8'),</v>
      </c>
    </row>
    <row r="14" spans="2:11" x14ac:dyDescent="0.25">
      <c r="B14" s="22" t="s">
        <v>426</v>
      </c>
      <c r="C14" s="13" t="s">
        <v>427</v>
      </c>
      <c r="D14" s="13" t="s">
        <v>414</v>
      </c>
      <c r="E14" s="13"/>
      <c r="F14" s="13" t="s">
        <v>393</v>
      </c>
      <c r="G14" s="13" t="s">
        <v>394</v>
      </c>
      <c r="H14" s="13" t="s">
        <v>400</v>
      </c>
      <c r="I14" s="13" t="s">
        <v>428</v>
      </c>
      <c r="J14" s="13" t="s">
        <v>429</v>
      </c>
      <c r="K14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('F04','FLIX ASHTA','Cinema','','Indonesia','Jakarta','Jakarta Selatan','Jl. Senopati No.83, Senayan, Kec. Kby. Baru, Kota Jakarta Selatan, Daerah Khusus Ibukota Jakarta 12190','https://maps.app.goo.gl/JJhw2MQg4rf476B59'),</v>
      </c>
    </row>
    <row r="15" spans="2:11" x14ac:dyDescent="0.25">
      <c r="B15" s="22" t="s">
        <v>430</v>
      </c>
      <c r="C15" s="13" t="s">
        <v>431</v>
      </c>
      <c r="D15" s="13" t="s">
        <v>414</v>
      </c>
      <c r="E15" s="13"/>
      <c r="F15" s="13" t="s">
        <v>393</v>
      </c>
      <c r="G15" s="13" t="s">
        <v>394</v>
      </c>
      <c r="H15" s="13" t="s">
        <v>405</v>
      </c>
      <c r="I15" s="13" t="s">
        <v>419</v>
      </c>
      <c r="J15" s="13" t="s">
        <v>420</v>
      </c>
      <c r="K15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('F99','FLIX SHQ','Cinema','','Indonesia','Jakarta','Jakarta Utara','Jl. Boulevard Bar. Raya No.12, RT.18/RW.19, Klp. Gading Bar., Kec. Klp. Gading, Jkt Utara, Daerah Khusus Ibukota Jakarta 14240','https://maps.app.goo.gl/CDafTWd9qFpdTmW67'),</v>
      </c>
    </row>
    <row r="16" spans="2:11" hidden="1" x14ac:dyDescent="0.25">
      <c r="B16" s="22" t="s">
        <v>432</v>
      </c>
      <c r="C16" s="13" t="s">
        <v>433</v>
      </c>
      <c r="D16" s="13" t="s">
        <v>434</v>
      </c>
      <c r="E16" s="13"/>
      <c r="F16" s="13" t="s">
        <v>393</v>
      </c>
      <c r="G16" s="13" t="s">
        <v>394</v>
      </c>
      <c r="H16" s="13" t="s">
        <v>405</v>
      </c>
      <c r="I16" s="13" t="s">
        <v>415</v>
      </c>
      <c r="J16" s="13" t="s">
        <v>416</v>
      </c>
      <c r="K16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('H01','Swiss Hotel','Hotel','','Indonesia','Jakarta','Jakarta Utara','Pantai Indah Kapuk St Boulevard, RT.6/RW.2, Kamal Muara, Penjaringan, North Jakarta City, Jakarta 14470','https://maps.app.goo.gl/y1gkFm9bwuNjVQe2A'),</v>
      </c>
    </row>
    <row r="17" spans="2:11" hidden="1" x14ac:dyDescent="0.25">
      <c r="B17" s="22" t="s">
        <v>435</v>
      </c>
      <c r="C17" s="13" t="s">
        <v>436</v>
      </c>
      <c r="D17" s="13" t="s">
        <v>434</v>
      </c>
      <c r="E17" s="13"/>
      <c r="F17" s="13" t="s">
        <v>393</v>
      </c>
      <c r="G17" s="13" t="s">
        <v>394</v>
      </c>
      <c r="H17" s="13" t="s">
        <v>405</v>
      </c>
      <c r="I17" s="13" t="s">
        <v>415</v>
      </c>
      <c r="J17" s="13" t="s">
        <v>416</v>
      </c>
      <c r="K17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('H02','Mercure','Hotel','','Indonesia','Jakarta','Jakarta Utara','Pantai Indah Kapuk St Boulevard, RT.6/RW.2, Kamal Muara, Penjaringan, North Jakarta City, Jakarta 14470','https://maps.app.goo.gl/y1gkFm9bwuNjVQe2A'),</v>
      </c>
    </row>
    <row r="18" spans="2:11" hidden="1" x14ac:dyDescent="0.25">
      <c r="B18" s="22" t="s">
        <v>437</v>
      </c>
      <c r="C18" s="13" t="s">
        <v>438</v>
      </c>
      <c r="D18" s="13" t="s">
        <v>434</v>
      </c>
      <c r="E18" s="13"/>
      <c r="F18" s="13" t="s">
        <v>393</v>
      </c>
      <c r="G18" s="13" t="s">
        <v>394</v>
      </c>
      <c r="H18" s="13" t="s">
        <v>400</v>
      </c>
      <c r="I18" s="13" t="s">
        <v>439</v>
      </c>
      <c r="J18" s="13" t="s">
        <v>440</v>
      </c>
      <c r="K18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('H03','Lengham','Hotel','','Indonesia','Jakarta','Jakarta Selatan','Jalan Senopati Raya No.8B, RT.5/RW.3, Senayan, Kec. Kby. Baru, Kota Jakarta Selatan, Daerah Khusus Ibukota Jakarta 12190','https://maps.app.goo.gl/RNChXHeZVaHL4C5HA'),</v>
      </c>
    </row>
    <row r="19" spans="2:11" x14ac:dyDescent="0.25">
      <c r="B19" s="22" t="s">
        <v>441</v>
      </c>
      <c r="C19" s="13" t="s">
        <v>442</v>
      </c>
      <c r="D19" s="13" t="s">
        <v>443</v>
      </c>
      <c r="E19" s="13" t="s">
        <v>470</v>
      </c>
      <c r="F19" s="13" t="s">
        <v>393</v>
      </c>
      <c r="G19" s="13" t="s">
        <v>394</v>
      </c>
      <c r="H19" s="13" t="s">
        <v>405</v>
      </c>
      <c r="I19" s="13" t="s">
        <v>415</v>
      </c>
      <c r="J19" s="13" t="s">
        <v>416</v>
      </c>
      <c r="K19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('M01','PIK Avenue','Mall','PT. MAP','Indonesia','Jakarta','Jakarta Utara','Pantai Indah Kapuk St Boulevard, RT.6/RW.2, Kamal Muara, Penjaringan, North Jakarta City, Jakarta 14470','https://maps.app.goo.gl/y1gkFm9bwuNjVQe2A'),</v>
      </c>
    </row>
    <row r="20" spans="2:11" x14ac:dyDescent="0.25">
      <c r="B20" s="22" t="s">
        <v>292</v>
      </c>
      <c r="C20" s="13" t="s">
        <v>444</v>
      </c>
      <c r="D20" s="13" t="s">
        <v>443</v>
      </c>
      <c r="E20" s="13" t="s">
        <v>473</v>
      </c>
      <c r="F20" s="13" t="s">
        <v>393</v>
      </c>
      <c r="G20" s="13" t="s">
        <v>394</v>
      </c>
      <c r="H20" s="13" t="s">
        <v>405</v>
      </c>
      <c r="I20" s="13" t="s">
        <v>419</v>
      </c>
      <c r="J20" s="13" t="s">
        <v>420</v>
      </c>
      <c r="K20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('M02','MOI','Mall','PT. MJS','Indonesia','Jakarta','Jakarta Utara','Jl. Boulevard Bar. Raya No.12, RT.18/RW.19, Klp. Gading Bar., Kec. Klp. Gading, Jkt Utara, Daerah Khusus Ibukota Jakarta 14240','https://maps.app.goo.gl/CDafTWd9qFpdTmW67'),</v>
      </c>
    </row>
    <row r="21" spans="2:11" x14ac:dyDescent="0.25">
      <c r="B21" s="22" t="s">
        <v>294</v>
      </c>
      <c r="C21" s="13" t="s">
        <v>445</v>
      </c>
      <c r="D21" s="13" t="s">
        <v>443</v>
      </c>
      <c r="E21" s="13" t="s">
        <v>474</v>
      </c>
      <c r="F21" s="13" t="s">
        <v>393</v>
      </c>
      <c r="G21" s="13" t="s">
        <v>446</v>
      </c>
      <c r="H21" s="13" t="s">
        <v>423</v>
      </c>
      <c r="I21" s="13" t="s">
        <v>424</v>
      </c>
      <c r="J21" s="13" t="s">
        <v>425</v>
      </c>
      <c r="K21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('M03','GGP','Mall','PT. BJK','Indonesia','Jawa Barat','Bekasi Selatan','Jl. Boulevard Raya No.1, RT.003/RW.017, Jaka Setia, Kec. Bekasi Sel., Kota Bks, Jawa Barat 17147','https://maps.app.goo.gl/8VVfF28Grsr9G2mU8'),</v>
      </c>
    </row>
    <row r="22" spans="2:11" x14ac:dyDescent="0.25">
      <c r="B22" s="22" t="s">
        <v>447</v>
      </c>
      <c r="C22" s="13" t="s">
        <v>448</v>
      </c>
      <c r="D22" s="13" t="s">
        <v>443</v>
      </c>
      <c r="E22" s="13" t="s">
        <v>477</v>
      </c>
      <c r="F22" s="13" t="s">
        <v>393</v>
      </c>
      <c r="G22" s="13" t="s">
        <v>394</v>
      </c>
      <c r="H22" s="13" t="s">
        <v>400</v>
      </c>
      <c r="I22" s="13" t="s">
        <v>428</v>
      </c>
      <c r="J22" s="13" t="s">
        <v>429</v>
      </c>
      <c r="K22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('M04','ASHTA','Mall','PT. MAS','Indonesia','Jakarta','Jakarta Selatan','Jl. Senopati No.83, Senayan, Kec. Kby. Baru, Kota Jakarta Selatan, Daerah Khusus Ibukota Jakarta 12190','https://maps.app.goo.gl/JJhw2MQg4rf476B59'),</v>
      </c>
    </row>
    <row r="23" spans="2:11" x14ac:dyDescent="0.25">
      <c r="B23" s="22" t="s">
        <v>449</v>
      </c>
      <c r="C23" s="13" t="s">
        <v>450</v>
      </c>
      <c r="D23" s="13" t="s">
        <v>443</v>
      </c>
      <c r="E23" s="13" t="s">
        <v>475</v>
      </c>
      <c r="F23" s="13" t="s">
        <v>393</v>
      </c>
      <c r="G23" s="13" t="s">
        <v>394</v>
      </c>
      <c r="H23" s="13" t="s">
        <v>395</v>
      </c>
      <c r="I23" s="13" t="s">
        <v>451</v>
      </c>
      <c r="J23" s="13" t="s">
        <v>452</v>
      </c>
      <c r="K23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('M05','Hublife','Mall','PT. AKMA','Indonesia','Jakarta','Jakarta Barat','Jl. Tanjung Duren Timur No.2, RW.5, Tj. Duren Sel., Kec. Grogol petamburan, Kota Jakarta Barat, Daerah Khusus Ibukota Jakarta 11470','https://maps.app.goo.gl/xFdujp585bfoE3qn6'),</v>
      </c>
    </row>
    <row r="24" spans="2:11" x14ac:dyDescent="0.25">
      <c r="B24" s="22" t="s">
        <v>453</v>
      </c>
      <c r="C24" s="13" t="s">
        <v>469</v>
      </c>
      <c r="D24" s="13" t="s">
        <v>443</v>
      </c>
      <c r="E24" s="13"/>
      <c r="F24" s="13" t="s">
        <v>393</v>
      </c>
      <c r="G24" s="13" t="s">
        <v>394</v>
      </c>
      <c r="H24" s="13" t="s">
        <v>405</v>
      </c>
      <c r="I24" s="13"/>
      <c r="J24" s="13"/>
      <c r="K24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('M06','K-Mall','Mall','','Indonesia','Jakarta','Jakarta Utara','',''),</v>
      </c>
    </row>
    <row r="25" spans="2:11" x14ac:dyDescent="0.25">
      <c r="B25" s="22" t="s">
        <v>293</v>
      </c>
      <c r="C25" s="13" t="s">
        <v>454</v>
      </c>
      <c r="D25" s="13" t="s">
        <v>455</v>
      </c>
      <c r="E25" s="13" t="s">
        <v>477</v>
      </c>
      <c r="F25" s="13" t="s">
        <v>393</v>
      </c>
      <c r="G25" s="13" t="s">
        <v>394</v>
      </c>
      <c r="H25" s="13" t="s">
        <v>405</v>
      </c>
      <c r="I25" s="13" t="s">
        <v>456</v>
      </c>
      <c r="J25" s="13" t="s">
        <v>457</v>
      </c>
      <c r="K25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('O99','ASG Tower','Ofiice','PT. MAS','Indonesia','Jakarta','Jakarta Utara','ASG Tower, Jl. Pantai Indah Kapuk No.2, RT.6/RW.2, Kamal Muara, Kec. Penjaringan, Jkt Utara, Daerah Khusus Ibukota Jakarta 14470','https://maps.app.goo.gl/rTbagH72jdi6VfLk9'),</v>
      </c>
    </row>
    <row r="26" spans="2:11" x14ac:dyDescent="0.25">
      <c r="B26" s="22" t="s">
        <v>458</v>
      </c>
      <c r="C26" s="13" t="s">
        <v>459</v>
      </c>
      <c r="D26" s="13" t="s">
        <v>455</v>
      </c>
      <c r="E26" s="13"/>
      <c r="F26" s="13" t="s">
        <v>393</v>
      </c>
      <c r="G26" s="13" t="s">
        <v>394</v>
      </c>
      <c r="H26" s="13" t="s">
        <v>400</v>
      </c>
      <c r="I26" s="13" t="s">
        <v>439</v>
      </c>
      <c r="J26" s="13" t="s">
        <v>440</v>
      </c>
      <c r="K26" s="23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('OD8','District 8','Ofiice','','Indonesia','Jakarta','Jakarta Selatan','Jalan Senopati Raya No.8B, RT.5/RW.3, Senayan, Kec. Kby. Baru, Kota Jakarta Selatan, Daerah Khusus Ibukota Jakarta 12190','https://maps.app.goo.gl/RNChXHeZVaHL4C5HA'),</v>
      </c>
    </row>
    <row r="27" spans="2:11" x14ac:dyDescent="0.25">
      <c r="B27" s="24" t="s">
        <v>384</v>
      </c>
      <c r="C27" s="25" t="s">
        <v>460</v>
      </c>
      <c r="D27" s="25" t="s">
        <v>461</v>
      </c>
      <c r="E27" s="25" t="s">
        <v>468</v>
      </c>
      <c r="F27" s="25" t="s">
        <v>462</v>
      </c>
      <c r="G27" s="25" t="s">
        <v>463</v>
      </c>
      <c r="H27" s="25" t="s">
        <v>464</v>
      </c>
      <c r="I27" s="25" t="s">
        <v>465</v>
      </c>
      <c r="J27" s="25"/>
      <c r="K27" s="26" t="str">
        <f>"('"&amp;db_site[[#This Row],[ID_SITE]]&amp;"','"&amp;
db_site[[#This Row],[SITE]]&amp;"','"&amp;
db_site[[#This Row],[BUSINESS_UNIT]]&amp;"','"&amp;
db_site[[#This Row],[COMPANY]]&amp;"','"&amp;
db_site[[#This Row],[Country]]&amp;"','"&amp;
db_site[[#This Row],[Provincy]]&amp;"','"&amp;
db_site[[#This Row],[City]]&amp;"','"&amp;
db_site[[#This Row],[Address]]&amp;"','"&amp;
db_site[[#This Row],[Url_maps]]&amp;"'),"</f>
        <v>('VAC','No SITE','No Placement','No Company','No Country','No Provincy','No City','No Address',''),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EMPLOYEES</vt:lpstr>
      <vt:lpstr>LEVEL</vt:lpstr>
      <vt:lpstr>DIRECTORATE</vt:lpstr>
      <vt:lpstr>DIVISION</vt:lpstr>
      <vt:lpstr>DEPARTEMENT</vt:lpstr>
      <vt:lpstr>SUB-DEPARTEMENT</vt:lpstr>
      <vt:lpstr>BUSINESS-UNIT</vt:lpstr>
      <vt:lpstr>CORP</vt:lpstr>
      <vt:lpstr>EMAIL</vt:lpstr>
      <vt:lpstr>AD</vt:lpstr>
      <vt:lpstr>WORKSTATION</vt:lpstr>
      <vt:lpstr>Q-WS</vt:lpstr>
      <vt:lpstr>ME</vt:lpstr>
      <vt:lpstr>TASK</vt:lpstr>
      <vt:lpstr>WH</vt:lpstr>
      <vt:lpstr>AM</vt:lpstr>
      <vt:lpstr>ITEM</vt:lpstr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Degia Parlopa Pasaribu</dc:creator>
  <cp:lastModifiedBy>Degia Parlopa</cp:lastModifiedBy>
  <dcterms:created xsi:type="dcterms:W3CDTF">2015-06-05T18:17:20Z</dcterms:created>
  <dcterms:modified xsi:type="dcterms:W3CDTF">2025-12-26T14:00:31Z</dcterms:modified>
</cp:coreProperties>
</file>